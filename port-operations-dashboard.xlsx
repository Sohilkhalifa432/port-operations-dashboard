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codeName="ThisWorkbook" hidePivotFieldList="1" defaultThemeVersion="166925"/>
  <mc:AlternateContent xmlns:mc="http://schemas.openxmlformats.org/markup-compatibility/2006">
    <mc:Choice Requires="x15">
      <x15ac:absPath xmlns:x15ac="http://schemas.microsoft.com/office/spreadsheetml/2010/11/ac" url="/Users/mac/Documents/"/>
    </mc:Choice>
  </mc:AlternateContent>
  <xr:revisionPtr revIDLastSave="0" documentId="13_ncr:1_{1E9475C1-02D5-ED41-9184-608EB18D5D19}" xr6:coauthVersionLast="47" xr6:coauthVersionMax="47" xr10:uidLastSave="{00000000-0000-0000-0000-000000000000}"/>
  <bookViews>
    <workbookView minimized="1" xWindow="0" yWindow="500" windowWidth="28800" windowHeight="16020" activeTab="9" xr2:uid="{38A8E180-6051-E645-BA63-12764AB0D59E}"/>
  </bookViews>
  <sheets>
    <sheet name="kpi1" sheetId="10" r:id="rId1"/>
    <sheet name="Ship_details" sheetId="1" r:id="rId2"/>
    <sheet name="kpi 4" sheetId="15" r:id="rId3"/>
    <sheet name="kpi 3" sheetId="14" r:id="rId4"/>
    <sheet name="kpi 2" sheetId="11" r:id="rId5"/>
    <sheet name="line chart" sheetId="5" r:id="rId6"/>
    <sheet name="Cargo slicer" sheetId="9" r:id="rId7"/>
    <sheet name="donut chart" sheetId="6" r:id="rId8"/>
    <sheet name="region wise column chart" sheetId="8" r:id="rId9"/>
    <sheet name="Dashboard" sheetId="4" r:id="rId10"/>
    <sheet name="2d bar" sheetId="7" r:id="rId11"/>
  </sheets>
  <definedNames>
    <definedName name="_xlnm._FilterDatabase" localSheetId="1" hidden="1">Ship_details!$C:$C</definedName>
    <definedName name="Cat">'Cargo slicer'!$B$5</definedName>
    <definedName name="CategoryList">'Cargo slicer'!$A:$A</definedName>
    <definedName name="customer">OFFSET(#REF!,0,0,COUNTA(#REF!),COUNTA(#REF!))</definedName>
    <definedName name="_xlnm.Extract" localSheetId="1">Ship_details!$N$13</definedName>
    <definedName name="Slicer_Cargo_type">#N/A</definedName>
  </definedNames>
  <calcPr calcId="191029"/>
  <pivotCaches>
    <pivotCache cacheId="22"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N10" i="1" l="1"/>
  <c r="G11" i="15"/>
  <c r="N13" i="1"/>
  <c r="G11" i="14"/>
  <c r="G11" i="11"/>
  <c r="N12" i="1"/>
  <c r="N11" i="1"/>
  <c r="H9" i="10"/>
  <c r="M46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F80432-9CA8-3C4E-AC33-5EC719015F3C}" keepAlive="1" name="Query - Ship_details" description="Connection to the 'Ship_details' query in the workbook." type="5" refreshedVersion="8" background="1" saveData="1">
    <dbPr connection="Provider=Microsoft.Mashup.OleDb.1;Data Source=$Workbook$;Location=Ship_details;Extended Properties=&quot;&quot;" command="SELECT * FROM [Ship_details]"/>
  </connection>
</connections>
</file>

<file path=xl/sharedStrings.xml><?xml version="1.0" encoding="utf-8"?>
<sst xmlns="http://schemas.openxmlformats.org/spreadsheetml/2006/main" count="4122" uniqueCount="596">
  <si>
    <t>Sr_No</t>
  </si>
  <si>
    <t>Vessel_Name</t>
  </si>
  <si>
    <t>Cargo_type</t>
  </si>
  <si>
    <t>Origin_Country</t>
  </si>
  <si>
    <t>Cargo_Weight_MT</t>
  </si>
  <si>
    <t>Berth_No</t>
  </si>
  <si>
    <t>Operator_Name</t>
  </si>
  <si>
    <t>Department</t>
  </si>
  <si>
    <t>Charges_INR</t>
  </si>
  <si>
    <t>Payment_Status</t>
  </si>
  <si>
    <t>Arrival_Date</t>
  </si>
  <si>
    <t>MV Sea Eeagle</t>
  </si>
  <si>
    <t>MV Black Diamond</t>
  </si>
  <si>
    <t>MV Ocial King</t>
  </si>
  <si>
    <t>MV Coal Master</t>
  </si>
  <si>
    <t>MT Crude Power</t>
  </si>
  <si>
    <t>MV Fertilizer King</t>
  </si>
  <si>
    <t>MV Pacific Star</t>
  </si>
  <si>
    <t>MSC Gujarat</t>
  </si>
  <si>
    <t>MT Sea Dragon</t>
  </si>
  <si>
    <t>MT Ocean Tanker</t>
  </si>
  <si>
    <t>MV Bulk Carrier One</t>
  </si>
  <si>
    <t>MV Iron Master</t>
  </si>
  <si>
    <t>CMA CGM Victory</t>
  </si>
  <si>
    <t>MSC Mundra</t>
  </si>
  <si>
    <t>MV Green Harvest</t>
  </si>
  <si>
    <t>CMA CGM Atlas</t>
  </si>
  <si>
    <t>MV Sea Eagle</t>
  </si>
  <si>
    <t>MT Desert Storm</t>
  </si>
  <si>
    <t>MV Ocean King</t>
  </si>
  <si>
    <t>MT Gulf Star</t>
  </si>
  <si>
    <t>MT Arabian Prince</t>
  </si>
  <si>
    <t>MSC India Star</t>
  </si>
  <si>
    <t>Crude Oil</t>
  </si>
  <si>
    <t>Fertilizer</t>
  </si>
  <si>
    <t>Container</t>
  </si>
  <si>
    <t>LPG</t>
  </si>
  <si>
    <t>Iron Ore</t>
  </si>
  <si>
    <t>Coal</t>
  </si>
  <si>
    <t>Australia</t>
  </si>
  <si>
    <t>Australia,</t>
  </si>
  <si>
    <t>Saudi Arabia</t>
  </si>
  <si>
    <t>Russia</t>
  </si>
  <si>
    <t>Iraq</t>
  </si>
  <si>
    <t>Morocco</t>
  </si>
  <si>
    <t>Iran</t>
  </si>
  <si>
    <t>Germany</t>
  </si>
  <si>
    <t>Qatar</t>
  </si>
  <si>
    <t>Brazil</t>
  </si>
  <si>
    <t>South Africa</t>
  </si>
  <si>
    <t>Singapore</t>
  </si>
  <si>
    <t>Japan</t>
  </si>
  <si>
    <t>Jordan</t>
  </si>
  <si>
    <t>UAE</t>
  </si>
  <si>
    <t>Indonesia</t>
  </si>
  <si>
    <t>Canada</t>
  </si>
  <si>
    <t>Kuwait</t>
  </si>
  <si>
    <t>China</t>
  </si>
  <si>
    <t>USA</t>
  </si>
  <si>
    <t>31840 MT</t>
  </si>
  <si>
    <t>74200 MT</t>
  </si>
  <si>
    <t>28450 MT</t>
  </si>
  <si>
    <t>68120 MT</t>
  </si>
  <si>
    <t>109500 MT</t>
  </si>
  <si>
    <t>45680 MT</t>
  </si>
  <si>
    <t>47210 MT</t>
  </si>
  <si>
    <t>118300 MT</t>
  </si>
  <si>
    <t>24650 MT</t>
  </si>
  <si>
    <t>33780 MT</t>
  </si>
  <si>
    <t>95700 MT</t>
  </si>
  <si>
    <t>52240 MT</t>
  </si>
  <si>
    <t>114200 MT</t>
  </si>
  <si>
    <t>63580 MT</t>
  </si>
  <si>
    <t>28950 MT</t>
  </si>
  <si>
    <t>64840 MT</t>
  </si>
  <si>
    <t>32980 MT</t>
  </si>
  <si>
    <t>27110 MT</t>
  </si>
  <si>
    <t>43650 MT</t>
  </si>
  <si>
    <t>30540 MT</t>
  </si>
  <si>
    <t>17280 MT</t>
  </si>
  <si>
    <t>59840 MT</t>
  </si>
  <si>
    <t>61450 MT</t>
  </si>
  <si>
    <t>30220 MT</t>
  </si>
  <si>
    <t>36480 MT</t>
  </si>
  <si>
    <t>112600 MT</t>
  </si>
  <si>
    <t>42190 MT</t>
  </si>
  <si>
    <t>38650 MT</t>
  </si>
  <si>
    <t>70980 MT</t>
  </si>
  <si>
    <t>48720 MT</t>
  </si>
  <si>
    <t>78150 MT</t>
  </si>
  <si>
    <t>29460 MT</t>
  </si>
  <si>
    <t>34080 MT</t>
  </si>
  <si>
    <t>120400 MT</t>
  </si>
  <si>
    <t>53860 MT</t>
  </si>
  <si>
    <t>27540 MT</t>
  </si>
  <si>
    <t>31890 MT</t>
  </si>
  <si>
    <t>66520 MT</t>
  </si>
  <si>
    <t>44780 MT</t>
  </si>
  <si>
    <t>98750 MT</t>
  </si>
  <si>
    <t>28640 MT</t>
  </si>
  <si>
    <t>35120 MT</t>
  </si>
  <si>
    <t>74280 MT</t>
  </si>
  <si>
    <t>25360 MT</t>
  </si>
  <si>
    <t>39540 MT</t>
  </si>
  <si>
    <t>110800 MT</t>
  </si>
  <si>
    <t>46820 MT</t>
  </si>
  <si>
    <t>33690 MT</t>
  </si>
  <si>
    <t>29840 MT</t>
  </si>
  <si>
    <t>57760 MT</t>
  </si>
  <si>
    <t>42950 MT</t>
  </si>
  <si>
    <t>83500 MT</t>
  </si>
  <si>
    <t>32340 MT</t>
  </si>
  <si>
    <t>40780 MT</t>
  </si>
  <si>
    <t>104200 MT</t>
  </si>
  <si>
    <t>54980 MT</t>
  </si>
  <si>
    <t>26480 MT</t>
  </si>
  <si>
    <t>68150 MT</t>
  </si>
  <si>
    <t>47280 MT</t>
  </si>
  <si>
    <t>91200 MT</t>
  </si>
  <si>
    <t>30150 MT</t>
  </si>
  <si>
    <t>35980 MT</t>
  </si>
  <si>
    <t>75320 MT</t>
  </si>
  <si>
    <t>24870 MT</t>
  </si>
  <si>
    <t>38840 MT</t>
  </si>
  <si>
    <t>126500 MT</t>
  </si>
  <si>
    <t>46120 MT</t>
  </si>
  <si>
    <t>33180 MT</t>
  </si>
  <si>
    <t>29480 MT</t>
  </si>
  <si>
    <t>62460 MT</t>
  </si>
  <si>
    <t>44890 MT</t>
  </si>
  <si>
    <t>86900 MT</t>
  </si>
  <si>
    <t>28960 MT</t>
  </si>
  <si>
    <t>37620 MT</t>
  </si>
  <si>
    <t>71240 MT</t>
  </si>
  <si>
    <t>23980 MT</t>
  </si>
  <si>
    <t>41780 MT</t>
  </si>
  <si>
    <t>108900 MT</t>
  </si>
  <si>
    <t>52960 MT</t>
  </si>
  <si>
    <t>34680 MT</t>
  </si>
  <si>
    <t>28620 MT</t>
  </si>
  <si>
    <t>58940 MT</t>
  </si>
  <si>
    <t>43580 MT</t>
  </si>
  <si>
    <t>77680 MT</t>
  </si>
  <si>
    <t>31140 MT</t>
  </si>
  <si>
    <t>40260 MT</t>
  </si>
  <si>
    <t>99500 MT</t>
  </si>
  <si>
    <t>55740 MT</t>
  </si>
  <si>
    <t>25780 MT</t>
  </si>
  <si>
    <t>69240 MT</t>
  </si>
  <si>
    <t>48460 MT</t>
  </si>
  <si>
    <t>84200 MT</t>
  </si>
  <si>
    <t>29680 MT</t>
  </si>
  <si>
    <t>36840 MT</t>
  </si>
  <si>
    <t>73460 MT</t>
  </si>
  <si>
    <t>24560 MT</t>
  </si>
  <si>
    <t>40920 MT</t>
  </si>
  <si>
    <t>121800 MT</t>
  </si>
  <si>
    <t>47580 MT</t>
  </si>
  <si>
    <t>33940 MT</t>
  </si>
  <si>
    <t>28160 MT</t>
  </si>
  <si>
    <t>61280 MT</t>
  </si>
  <si>
    <t>45620 MT</t>
  </si>
  <si>
    <t>80850 MT</t>
  </si>
  <si>
    <t>29240 MT</t>
  </si>
  <si>
    <t>39180 MT</t>
  </si>
  <si>
    <t>72460 MT</t>
  </si>
  <si>
    <t>23180 MT</t>
  </si>
  <si>
    <t>42640 MT</t>
  </si>
  <si>
    <t>113400 MT</t>
  </si>
  <si>
    <t>51880 MT</t>
  </si>
  <si>
    <t>36240 MT</t>
  </si>
  <si>
    <t>27840 MT</t>
  </si>
  <si>
    <t>60420 MT</t>
  </si>
  <si>
    <t>44160 MT</t>
  </si>
  <si>
    <t>79050 MT</t>
  </si>
  <si>
    <t>30780 MT</t>
  </si>
  <si>
    <t>39740 MT</t>
  </si>
  <si>
    <t>96800 MT</t>
  </si>
  <si>
    <t>54180 MT</t>
  </si>
  <si>
    <t>26140 MT</t>
  </si>
  <si>
    <t>67280 MT</t>
  </si>
  <si>
    <t>48920 MT</t>
  </si>
  <si>
    <t>85860 MT</t>
  </si>
  <si>
    <t>29940 MT</t>
  </si>
  <si>
    <t>37480 MT</t>
  </si>
  <si>
    <t>74620 MT</t>
  </si>
  <si>
    <t>25140 MT</t>
  </si>
  <si>
    <t>41380 MT</t>
  </si>
  <si>
    <t>118700 MT</t>
  </si>
  <si>
    <t>48260 MT</t>
  </si>
  <si>
    <t>34480 MT</t>
  </si>
  <si>
    <t>28460 MT</t>
  </si>
  <si>
    <t>62840 MT</t>
  </si>
  <si>
    <t>45980 MT</t>
  </si>
  <si>
    <t>82200 MT</t>
  </si>
  <si>
    <t>29380 MT</t>
  </si>
  <si>
    <t>38540 MT</t>
  </si>
  <si>
    <t>70120 MT</t>
  </si>
  <si>
    <t>23460 MT</t>
  </si>
  <si>
    <t>42080 MT</t>
  </si>
  <si>
    <t>111600 MT</t>
  </si>
  <si>
    <t>52640 MT</t>
  </si>
  <si>
    <t>36780 MT</t>
  </si>
  <si>
    <t>28040 MT</t>
  </si>
  <si>
    <t>59680 MT</t>
  </si>
  <si>
    <t>43940 MT</t>
  </si>
  <si>
    <t>78420 MT</t>
  </si>
  <si>
    <t>30960 MT</t>
  </si>
  <si>
    <t>39480 MT</t>
  </si>
  <si>
    <t>94900 MT</t>
  </si>
  <si>
    <t>53580 MT</t>
  </si>
  <si>
    <t>26380 MT</t>
  </si>
  <si>
    <t>66120 MT</t>
  </si>
  <si>
    <t>47840 MT</t>
  </si>
  <si>
    <t>84650 MT</t>
  </si>
  <si>
    <t>30080 MT</t>
  </si>
  <si>
    <t>37240 MT</t>
  </si>
  <si>
    <t>73860 MT</t>
  </si>
  <si>
    <t>24780 MT</t>
  </si>
  <si>
    <t>40540 MT</t>
  </si>
  <si>
    <t>124300 MT</t>
  </si>
  <si>
    <t>46980 MT</t>
  </si>
  <si>
    <t>33820 MT</t>
  </si>
  <si>
    <t>28760 MT</t>
  </si>
  <si>
    <t>61940 MT</t>
  </si>
  <si>
    <t>45380 MT</t>
  </si>
  <si>
    <t>80120 MT</t>
  </si>
  <si>
    <t>29160 MT</t>
  </si>
  <si>
    <t>38940 MT</t>
  </si>
  <si>
    <t>71680 MT</t>
  </si>
  <si>
    <t>23680 MT</t>
  </si>
  <si>
    <t>42360 MT</t>
  </si>
  <si>
    <t>107500 MT</t>
  </si>
  <si>
    <t>52140 MT</t>
  </si>
  <si>
    <t>36080 MT</t>
  </si>
  <si>
    <t>27960 MT</t>
  </si>
  <si>
    <t>60580 MT</t>
  </si>
  <si>
    <t>44620 MT</t>
  </si>
  <si>
    <t>77240 MT</t>
  </si>
  <si>
    <t>31280 MT</t>
  </si>
  <si>
    <t>39880 MT</t>
  </si>
  <si>
    <t>98200 MT</t>
  </si>
  <si>
    <t>54820 MT</t>
  </si>
  <si>
    <t>25980 MT</t>
  </si>
  <si>
    <t>68640 MT</t>
  </si>
  <si>
    <t>48580 MT</t>
  </si>
  <si>
    <t>86400 MT</t>
  </si>
  <si>
    <t>29820 MT</t>
  </si>
  <si>
    <t>37060 MT</t>
  </si>
  <si>
    <t>72840 MT</t>
  </si>
  <si>
    <t>24980 MT</t>
  </si>
  <si>
    <t>40860 MT</t>
  </si>
  <si>
    <t>117900 MT</t>
  </si>
  <si>
    <t>47640 MT</t>
  </si>
  <si>
    <t>34180 MT</t>
  </si>
  <si>
    <t>28340 MT</t>
  </si>
  <si>
    <t>61460 MT</t>
  </si>
  <si>
    <t>45780 MT</t>
  </si>
  <si>
    <t>81580 MT</t>
  </si>
  <si>
    <t>39240 MT</t>
  </si>
  <si>
    <t>70820 MT</t>
  </si>
  <si>
    <t>23360 MT</t>
  </si>
  <si>
    <t>41820 MT</t>
  </si>
  <si>
    <t>110900 MT</t>
  </si>
  <si>
    <t>51480 MT</t>
  </si>
  <si>
    <t>36420 MT</t>
  </si>
  <si>
    <t>27680 MT</t>
  </si>
  <si>
    <t>59080 MT</t>
  </si>
  <si>
    <t>43860 MT</t>
  </si>
  <si>
    <t>78120 MT</t>
  </si>
  <si>
    <t>30640 MT</t>
  </si>
  <si>
    <t>39680 MT</t>
  </si>
  <si>
    <t>95780 MT</t>
  </si>
  <si>
    <t>54360 MT</t>
  </si>
  <si>
    <t>26240 MT</t>
  </si>
  <si>
    <t>67480 MT</t>
  </si>
  <si>
    <t>48220 MT</t>
  </si>
  <si>
    <t>85380 MT</t>
  </si>
  <si>
    <t>30160 MT</t>
  </si>
  <si>
    <t>37540 MT</t>
  </si>
  <si>
    <t>74260 MT</t>
  </si>
  <si>
    <t>25080 MT</t>
  </si>
  <si>
    <t>41160 MT</t>
  </si>
  <si>
    <t>119400 MT</t>
  </si>
  <si>
    <t>48320 MT</t>
  </si>
  <si>
    <t>34560 MT</t>
  </si>
  <si>
    <t>28580 MT</t>
  </si>
  <si>
    <t>62280 MT</t>
  </si>
  <si>
    <t>46020 MT</t>
  </si>
  <si>
    <t>82780 MT</t>
  </si>
  <si>
    <t>29280 MT</t>
  </si>
  <si>
    <t>38860 MT</t>
  </si>
  <si>
    <t>70380 MT</t>
  </si>
  <si>
    <t>23580 MT</t>
  </si>
  <si>
    <t>42540 MT</t>
  </si>
  <si>
    <t>109800 MT</t>
  </si>
  <si>
    <t>52840 MT</t>
  </si>
  <si>
    <t>36140 MT</t>
  </si>
  <si>
    <t>27880 MT</t>
  </si>
  <si>
    <t>59820 MT</t>
  </si>
  <si>
    <t>44080 MT</t>
  </si>
  <si>
    <t>78680 MT</t>
  </si>
  <si>
    <t>31040 MT</t>
  </si>
  <si>
    <t>39380 MT</t>
  </si>
  <si>
    <t>96400 MT</t>
  </si>
  <si>
    <t>53720 MT</t>
  </si>
  <si>
    <t>67920 MT</t>
  </si>
  <si>
    <t>48740 MT</t>
  </si>
  <si>
    <t>84980 MT</t>
  </si>
  <si>
    <t>29980 MT</t>
  </si>
  <si>
    <t>37360 MT</t>
  </si>
  <si>
    <t>73280 MT</t>
  </si>
  <si>
    <t>24840 MT</t>
  </si>
  <si>
    <t>40680 MT</t>
  </si>
  <si>
    <t>123600 MT</t>
  </si>
  <si>
    <t>47120 MT</t>
  </si>
  <si>
    <t>34040 MT</t>
  </si>
  <si>
    <t>28280 MT</t>
  </si>
  <si>
    <t>61780 MT</t>
  </si>
  <si>
    <t>45460 MT</t>
  </si>
  <si>
    <t>80980 MT</t>
  </si>
  <si>
    <t>29320 MT</t>
  </si>
  <si>
    <t>39080 MT</t>
  </si>
  <si>
    <t>71940 MT</t>
  </si>
  <si>
    <t>23280 MT</t>
  </si>
  <si>
    <t>42280 MT</t>
  </si>
  <si>
    <t>112200 MT</t>
  </si>
  <si>
    <t>51960 MT</t>
  </si>
  <si>
    <t>36680 MT</t>
  </si>
  <si>
    <t>27780 MT</t>
  </si>
  <si>
    <t>60340 MT</t>
  </si>
  <si>
    <t>44380 MT</t>
  </si>
  <si>
    <t>77560 MT</t>
  </si>
  <si>
    <t>30840 MT</t>
  </si>
  <si>
    <t>39560 MT</t>
  </si>
  <si>
    <t>95280 MT</t>
  </si>
  <si>
    <t>54040 MT</t>
  </si>
  <si>
    <t>26080 MT</t>
  </si>
  <si>
    <t>66740 MT</t>
  </si>
  <si>
    <t>48080 MT</t>
  </si>
  <si>
    <t>85720 MT</t>
  </si>
  <si>
    <t>30040 MT</t>
  </si>
  <si>
    <t>37140 MT</t>
  </si>
  <si>
    <t>72680 MT</t>
  </si>
  <si>
    <t>24680 MT</t>
  </si>
  <si>
    <t>41020 MT</t>
  </si>
  <si>
    <t>116800 MT</t>
  </si>
  <si>
    <t>47820 MT</t>
  </si>
  <si>
    <t>34340 MT</t>
  </si>
  <si>
    <t>28420 MT</t>
  </si>
  <si>
    <t>62640 MT</t>
  </si>
  <si>
    <t>45840 MT</t>
  </si>
  <si>
    <t>81820 MT</t>
  </si>
  <si>
    <t>29420 MT</t>
  </si>
  <si>
    <t>38780 MT</t>
  </si>
  <si>
    <t>70960 MT</t>
  </si>
  <si>
    <t>23420 MT</t>
  </si>
  <si>
    <t>41940 MT</t>
  </si>
  <si>
    <t>108300 MT</t>
  </si>
  <si>
    <t>52380 MT</t>
  </si>
  <si>
    <t>36380 MT</t>
  </si>
  <si>
    <t>27920 MT</t>
  </si>
  <si>
    <t>59440 MT</t>
  </si>
  <si>
    <t>43780 MT</t>
  </si>
  <si>
    <t>78280 MT</t>
  </si>
  <si>
    <t>30580 MT</t>
  </si>
  <si>
    <t>39720 MT</t>
  </si>
  <si>
    <t>97120 MT</t>
  </si>
  <si>
    <t>54580 MT</t>
  </si>
  <si>
    <t>25840 MT</t>
  </si>
  <si>
    <t>67180 MT</t>
  </si>
  <si>
    <t>48620 MT</t>
  </si>
  <si>
    <t>84680 MT</t>
  </si>
  <si>
    <t>29860 MT</t>
  </si>
  <si>
    <t>37680 MT</t>
  </si>
  <si>
    <t>73940 MT</t>
  </si>
  <si>
    <t>25240 MT</t>
  </si>
  <si>
    <t>40420 MT</t>
  </si>
  <si>
    <t>120600 MT</t>
  </si>
  <si>
    <t>47480 MT</t>
  </si>
  <si>
    <t>62120 MT</t>
  </si>
  <si>
    <t>45240 MT</t>
  </si>
  <si>
    <t>80360 MT</t>
  </si>
  <si>
    <t>29180 MT</t>
  </si>
  <si>
    <t>38620 MT</t>
  </si>
  <si>
    <t>71740 MT</t>
  </si>
  <si>
    <t>23720 MT</t>
  </si>
  <si>
    <t>42480 MT</t>
  </si>
  <si>
    <t>111300 MT</t>
  </si>
  <si>
    <t>52580 MT</t>
  </si>
  <si>
    <t>36540 MT</t>
  </si>
  <si>
    <t>27820 MT</t>
  </si>
  <si>
    <t>60120 MT</t>
  </si>
  <si>
    <t>44240 MT</t>
  </si>
  <si>
    <t>79180 MT</t>
  </si>
  <si>
    <t>30920 MT</t>
  </si>
  <si>
    <t>39920 MT</t>
  </si>
  <si>
    <t>94480 MT</t>
  </si>
  <si>
    <t>53640 MT</t>
  </si>
  <si>
    <t>26320 MT</t>
  </si>
  <si>
    <t>67620 MT</t>
  </si>
  <si>
    <t>48160 MT</t>
  </si>
  <si>
    <t>85240 MT</t>
  </si>
  <si>
    <t>30020 MT</t>
  </si>
  <si>
    <t>37420 MT</t>
  </si>
  <si>
    <t>74480 MT</t>
  </si>
  <si>
    <t>25040 MT</t>
  </si>
  <si>
    <t>118500 MT</t>
  </si>
  <si>
    <t>46920 MT</t>
  </si>
  <si>
    <t>34120 MT</t>
  </si>
  <si>
    <t>28380 MT</t>
  </si>
  <si>
    <t>61580 MT</t>
  </si>
  <si>
    <t>45640 MT</t>
  </si>
  <si>
    <t>81420 MT</t>
  </si>
  <si>
    <t>29360 MT</t>
  </si>
  <si>
    <t>39140 MT</t>
  </si>
  <si>
    <t>70680 MT</t>
  </si>
  <si>
    <t>23640 MT</t>
  </si>
  <si>
    <t>42120 MT</t>
  </si>
  <si>
    <t>109200 MT</t>
  </si>
  <si>
    <t>51720 MT</t>
  </si>
  <si>
    <t>36280 MT</t>
  </si>
  <si>
    <t>27740 MT</t>
  </si>
  <si>
    <t>59740 MT</t>
  </si>
  <si>
    <t>43920 MT</t>
  </si>
  <si>
    <t>77980 MT</t>
  </si>
  <si>
    <t>30720 MT</t>
  </si>
  <si>
    <t>39420 MT</t>
  </si>
  <si>
    <t>95840 MT</t>
  </si>
  <si>
    <t>54220 MT</t>
  </si>
  <si>
    <t>26180 MT</t>
  </si>
  <si>
    <t>66580 MT</t>
  </si>
  <si>
    <t>48420 MT</t>
  </si>
  <si>
    <t>85940 MT</t>
  </si>
  <si>
    <t>29920 MT</t>
  </si>
  <si>
    <t>37280 MT</t>
  </si>
  <si>
    <t>72960 MT</t>
  </si>
  <si>
    <t>24920 MT</t>
  </si>
  <si>
    <t>40940 MT</t>
  </si>
  <si>
    <t>117100 MT</t>
  </si>
  <si>
    <t>47520 MT</t>
  </si>
  <si>
    <t>34280 MT</t>
  </si>
  <si>
    <t>28480 MT</t>
  </si>
  <si>
    <t>62040 MT</t>
  </si>
  <si>
    <t>45520 MT</t>
  </si>
  <si>
    <t>80740 MT</t>
  </si>
  <si>
    <t>29220 MT</t>
  </si>
  <si>
    <t>38820 MT</t>
  </si>
  <si>
    <t>71280 MT</t>
  </si>
  <si>
    <t>23320 MT</t>
  </si>
  <si>
    <t>42720 MT</t>
  </si>
  <si>
    <t>113100 MT</t>
  </si>
  <si>
    <t>52080 MT</t>
  </si>
  <si>
    <t>28080 MT</t>
  </si>
  <si>
    <t>60640 MT</t>
  </si>
  <si>
    <t>44420 MT</t>
  </si>
  <si>
    <t>78840 MT</t>
  </si>
  <si>
    <t>31180 MT</t>
  </si>
  <si>
    <t>39620 MT</t>
  </si>
  <si>
    <t>96980 MT</t>
  </si>
  <si>
    <t>53880 MT</t>
  </si>
  <si>
    <t>26280 MT</t>
  </si>
  <si>
    <t>67320 MT</t>
  </si>
  <si>
    <t>48840 MT</t>
  </si>
  <si>
    <t>84780 MT</t>
  </si>
  <si>
    <t>30060 MT</t>
  </si>
  <si>
    <t>37380 MT</t>
  </si>
  <si>
    <t>73580 MT</t>
  </si>
  <si>
    <t>24740 MT</t>
  </si>
  <si>
    <t>40580 MT</t>
  </si>
  <si>
    <t>124800 MT</t>
  </si>
  <si>
    <t>47040 MT</t>
  </si>
  <si>
    <t>33920 MT</t>
  </si>
  <si>
    <t>28540 MT</t>
  </si>
  <si>
    <t>61820 MT</t>
  </si>
  <si>
    <t>45320 MT</t>
  </si>
  <si>
    <t>79940 MT</t>
  </si>
  <si>
    <t>29080 MT</t>
  </si>
  <si>
    <t>38980 MT</t>
  </si>
  <si>
    <t>72060 MT</t>
  </si>
  <si>
    <t>23840 MT</t>
  </si>
  <si>
    <t>42320 MT</t>
  </si>
  <si>
    <t>108700 MT</t>
  </si>
  <si>
    <t>52280 MT</t>
  </si>
  <si>
    <t>36180 MT</t>
  </si>
  <si>
    <t>27980 MT</t>
  </si>
  <si>
    <t>59280 MT</t>
  </si>
  <si>
    <t>44120 MT</t>
  </si>
  <si>
    <t>77480 MT</t>
  </si>
  <si>
    <t>30680 MT</t>
  </si>
  <si>
    <t>39840 MT</t>
  </si>
  <si>
    <t>95380 MT</t>
  </si>
  <si>
    <t>54440 MT</t>
  </si>
  <si>
    <t>25940 MT</t>
  </si>
  <si>
    <t>66880 MT</t>
  </si>
  <si>
    <t>47980 MT</t>
  </si>
  <si>
    <t>85560 MT</t>
  </si>
  <si>
    <t>29880 MT</t>
  </si>
  <si>
    <t>37120 MT</t>
  </si>
  <si>
    <t>72780 MT</t>
  </si>
  <si>
    <t>24620 MT</t>
  </si>
  <si>
    <t>41080 MT</t>
  </si>
  <si>
    <t>116200 MT</t>
  </si>
  <si>
    <t>47680 MT</t>
  </si>
  <si>
    <t>34420 MT</t>
  </si>
  <si>
    <t>28320 MT</t>
  </si>
  <si>
    <t>62480 MT</t>
  </si>
  <si>
    <t>45920 MT</t>
  </si>
  <si>
    <t>82040 MT</t>
  </si>
  <si>
    <t>39020 MT</t>
  </si>
  <si>
    <t>70760 MT</t>
  </si>
  <si>
    <t>23520 MT</t>
  </si>
  <si>
    <t>41880 MT</t>
  </si>
  <si>
    <t>110400 MT</t>
  </si>
  <si>
    <t>51840 MT</t>
  </si>
  <si>
    <t>36620 MT</t>
  </si>
  <si>
    <t>27640 MT</t>
  </si>
  <si>
    <t>59980 MT</t>
  </si>
  <si>
    <t>43820 MT</t>
  </si>
  <si>
    <t>78360 MT</t>
  </si>
  <si>
    <t>30820 MT</t>
  </si>
  <si>
    <t>39520 MT</t>
  </si>
  <si>
    <t>94680 MT</t>
  </si>
  <si>
    <t>54120 MT</t>
  </si>
  <si>
    <t>26420 MT</t>
  </si>
  <si>
    <t>67780 MT</t>
  </si>
  <si>
    <t>48360 MT</t>
  </si>
  <si>
    <t>85020 MT</t>
  </si>
  <si>
    <t>29960 MT</t>
  </si>
  <si>
    <t>37580 MT</t>
  </si>
  <si>
    <t>74120 MT</t>
  </si>
  <si>
    <t>25120 MT</t>
  </si>
  <si>
    <t>40620 MT</t>
  </si>
  <si>
    <t>119800 MT</t>
  </si>
  <si>
    <t>47380 MT</t>
  </si>
  <si>
    <t>28240 MT</t>
  </si>
  <si>
    <t>61640 MT</t>
  </si>
  <si>
    <t>45740 MT</t>
  </si>
  <si>
    <t>81080 MT</t>
  </si>
  <si>
    <t>39280 MT</t>
  </si>
  <si>
    <t>71820 MT</t>
  </si>
  <si>
    <t>23240 MT</t>
  </si>
  <si>
    <t>42240 MT</t>
  </si>
  <si>
    <t>111800 MT</t>
  </si>
  <si>
    <t>52680 MT</t>
  </si>
  <si>
    <t>36320 MT</t>
  </si>
  <si>
    <t>27860 MT</t>
  </si>
  <si>
    <t>60480 MT</t>
  </si>
  <si>
    <t>44520 MT</t>
  </si>
  <si>
    <t>79280 MT</t>
  </si>
  <si>
    <t>B2</t>
  </si>
  <si>
    <t>B6</t>
  </si>
  <si>
    <t>B4</t>
  </si>
  <si>
    <t>B8</t>
  </si>
  <si>
    <t>B10</t>
  </si>
  <si>
    <t>B3</t>
  </si>
  <si>
    <t>B5</t>
  </si>
  <si>
    <t>B7</t>
  </si>
  <si>
    <t>B1</t>
  </si>
  <si>
    <t>B9</t>
  </si>
  <si>
    <t>B11</t>
  </si>
  <si>
    <t>B12</t>
  </si>
  <si>
    <t>Adani Ports and SEZ Ltd</t>
  </si>
  <si>
    <t>JM Baxi Group</t>
  </si>
  <si>
    <t>Mundra Shipping Services</t>
  </si>
  <si>
    <t>Security</t>
  </si>
  <si>
    <t>Operations</t>
  </si>
  <si>
    <t>Finance</t>
  </si>
  <si>
    <t>Logistics</t>
  </si>
  <si>
    <t>Customs</t>
  </si>
  <si>
    <t>Pending</t>
  </si>
  <si>
    <t>Partially Paid</t>
  </si>
  <si>
    <t>Paid</t>
  </si>
  <si>
    <t>Overdue</t>
  </si>
  <si>
    <t>Row Labels</t>
  </si>
  <si>
    <t>Grand Total</t>
  </si>
  <si>
    <t>Sep</t>
  </si>
  <si>
    <t>Sum of Charges_INR</t>
  </si>
  <si>
    <t>Column Labels</t>
  </si>
  <si>
    <t>d</t>
  </si>
  <si>
    <t>total charges</t>
  </si>
  <si>
    <t>helper cell</t>
  </si>
  <si>
    <t>total pending payment</t>
  </si>
  <si>
    <t>total paid  payment</t>
  </si>
  <si>
    <t>total  overdue  payment</t>
  </si>
  <si>
    <t>Jan</t>
  </si>
  <si>
    <t>Feb</t>
  </si>
  <si>
    <t>Mar</t>
  </si>
  <si>
    <t>Apr</t>
  </si>
  <si>
    <t>May</t>
  </si>
  <si>
    <t>Jun</t>
  </si>
  <si>
    <t>Jul</t>
  </si>
  <si>
    <t>Aug</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</si>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</sst>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quot; L&quot;"/>
  </numFmts>
  <fonts count="9">
    <font>
      <sz val="12"/>
      <color theme="1"/>
      <name val="Calibri"/>
      <family val="2"/>
      <scheme val="minor"/>
    </font>
    <font>
      <b/>
      <sz val="14"/>
      <color theme="8" tint="-0.249977111117893"/>
      <name val="Al Bayan Plain"/>
    </font>
    <font>
      <sz val="13"/>
      <color theme="1"/>
      <name val="Helvetica Neue"/>
      <family val="2"/>
    </font>
    <font>
      <sz val="12"/>
      <color theme="0"/>
      <name val="Calibri"/>
      <family val="2"/>
      <scheme val="minor"/>
    </font>
    <font>
      <b/>
      <sz val="12"/>
      <color theme="1"/>
      <name val="Calibri"/>
      <family val="2"/>
      <scheme val="minor"/>
    </font>
    <font>
      <sz val="16"/>
      <color theme="0"/>
      <name val="Calibri"/>
      <family val="2"/>
      <scheme val="minor"/>
    </font>
    <font>
      <sz val="14"/>
      <color theme="1"/>
      <name val="Al Bayan Plain"/>
    </font>
    <font>
      <sz val="18"/>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rgb="FFF5F4EE"/>
        <bgColor indexed="64"/>
      </patternFill>
    </fill>
  </fills>
  <borders count="1">
    <border>
      <left/>
      <right/>
      <top/>
      <bottom/>
      <diagonal/>
    </border>
  </borders>
  <cellStyleXfs count="2">
    <xf numFmtId="0" fontId="0" fillId="0" borderId="0"/>
    <xf numFmtId="0" fontId="8" fillId="0" borderId="0"/>
  </cellStyleXfs>
  <cellXfs count="20">
    <xf numFmtId="0" fontId="0" fillId="0" borderId="0" xfId="0"/>
    <xf numFmtId="0" fontId="1" fillId="0" borderId="0" xfId="0" applyFont="1" applyAlignment="1">
      <alignment horizontal="center" vertical="center"/>
    </xf>
    <xf numFmtId="0" fontId="0" fillId="0" borderId="0" xfId="0" pivotButton="1"/>
    <xf numFmtId="0" fontId="0" fillId="0" borderId="0" xfId="0" applyAlignment="1">
      <alignment horizontal="left"/>
    </xf>
    <xf numFmtId="14" fontId="1" fillId="0" borderId="0" xfId="0" applyNumberFormat="1" applyFont="1" applyAlignment="1">
      <alignment horizontal="center" vertical="center"/>
    </xf>
    <xf numFmtId="14" fontId="2" fillId="0" borderId="0" xfId="0" applyNumberFormat="1" applyFont="1"/>
    <xf numFmtId="14" fontId="0" fillId="0" borderId="0" xfId="0" applyNumberFormat="1"/>
    <xf numFmtId="164" fontId="1" fillId="0" borderId="0" xfId="0" applyNumberFormat="1" applyFont="1" applyAlignment="1">
      <alignment horizontal="center" vertical="center"/>
    </xf>
    <xf numFmtId="164" fontId="0" fillId="0" borderId="0" xfId="0" applyNumberFormat="1"/>
    <xf numFmtId="14" fontId="0" fillId="0" borderId="0" xfId="0" applyNumberFormat="1" applyAlignment="1">
      <alignment horizontal="left"/>
    </xf>
    <xf numFmtId="0" fontId="3" fillId="2" borderId="0" xfId="0" applyFont="1" applyFill="1"/>
    <xf numFmtId="0" fontId="5" fillId="0" borderId="0" xfId="0" applyFont="1"/>
    <xf numFmtId="10" fontId="0" fillId="0" borderId="0" xfId="0" applyNumberFormat="1"/>
    <xf numFmtId="14" fontId="0" fillId="0" borderId="0" xfId="0" applyNumberFormat="1" applyAlignment="1">
      <alignment horizontal="left" indent="1"/>
    </xf>
    <xf numFmtId="165" fontId="7" fillId="0" borderId="0" xfId="0" applyNumberFormat="1" applyFont="1"/>
    <xf numFmtId="165" fontId="6" fillId="0" borderId="0" xfId="0" applyNumberFormat="1" applyFont="1" applyAlignment="1">
      <alignment horizontal="center" vertical="center"/>
    </xf>
    <xf numFmtId="165" fontId="0" fillId="0" borderId="0" xfId="0" applyNumberFormat="1"/>
    <xf numFmtId="0" fontId="0" fillId="3" borderId="0" xfId="0" applyFill="1"/>
    <xf numFmtId="0" fontId="4" fillId="3" borderId="0" xfId="0" applyFont="1" applyFill="1"/>
    <xf numFmtId="0" fontId="0" fillId="0" borderId="0" xfId="0" applyNumberFormat="1"/>
  </cellXfs>
  <cellStyles count="2">
    <cellStyle name="Normal" xfId="0" builtinId="0"/>
    <cellStyle name="Normal 2" xfId="1" xr:uid="{96285DF7-C3D4-7C41-8E0A-A49381C36FD7}"/>
  </cellStyles>
  <dxfs count="0"/>
  <tableStyles count="0" defaultTableStyle="TableStyleMedium2" defaultPivotStyle="PivotStyleLight16"/>
  <colors>
    <mruColors>
      <color rgb="FF9FE1CB"/>
      <color rgb="FF4372C5"/>
      <color rgb="FFACAAAF"/>
      <color rgb="FFD8D5DB"/>
      <color rgb="FFCFCFCF"/>
      <color rgb="FF358EDF"/>
      <color rgb="FF378ADD"/>
      <color rgb="FFE6F2FC"/>
      <color rgb="FFF5F4EE"/>
      <color rgb="FFD5D7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[mundra-port.xlsx]line chart!PivotTable2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 chart'!$C$5</c:f>
              <c:strCache>
                <c:ptCount val="1"/>
                <c:pt idx="0">
                  <c:v>Total</c:v>
                </c:pt>
              </c:strCache>
            </c:strRef>
          </c:tx>
          <c:spPr>
            <a:ln w="28575" cap="rnd">
              <a:solidFill>
                <a:schemeClr val="accent1"/>
              </a:solidFill>
              <a:round/>
            </a:ln>
            <a:effectLst/>
          </c:spPr>
          <c:marker>
            <c:symbol val="none"/>
          </c:marker>
          <c:cat>
            <c:strRef>
              <c:f>'line chart'!$B$6:$B$18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chart'!$C$6:$C$18</c:f>
              <c:numCache>
                <c:formatCode>General</c:formatCode>
                <c:ptCount val="12"/>
                <c:pt idx="0">
                  <c:v>3224500</c:v>
                </c:pt>
                <c:pt idx="1">
                  <c:v>852000</c:v>
                </c:pt>
                <c:pt idx="2">
                  <c:v>2330000</c:v>
                </c:pt>
                <c:pt idx="3">
                  <c:v>3301500</c:v>
                </c:pt>
                <c:pt idx="4">
                  <c:v>1674500</c:v>
                </c:pt>
                <c:pt idx="5">
                  <c:v>2708500</c:v>
                </c:pt>
                <c:pt idx="6">
                  <c:v>2420500</c:v>
                </c:pt>
                <c:pt idx="7">
                  <c:v>2064000</c:v>
                </c:pt>
                <c:pt idx="8">
                  <c:v>2278000</c:v>
                </c:pt>
                <c:pt idx="9">
                  <c:v>628500</c:v>
                </c:pt>
                <c:pt idx="10">
                  <c:v>2079000</c:v>
                </c:pt>
                <c:pt idx="11">
                  <c:v>1332000</c:v>
                </c:pt>
              </c:numCache>
            </c:numRef>
          </c:val>
          <c:smooth val="0"/>
          <c:extLst>
            <c:ext xmlns:c16="http://schemas.microsoft.com/office/drawing/2014/chart" uri="{C3380CC4-5D6E-409C-BE32-E72D297353CC}">
              <c16:uniqueId val="{00000000-6446-FE46-9E6E-2FF3AA31095C}"/>
            </c:ext>
          </c:extLst>
        </c:ser>
        <c:dLbls>
          <c:showLegendKey val="0"/>
          <c:showVal val="0"/>
          <c:showCatName val="0"/>
          <c:showSerName val="0"/>
          <c:showPercent val="0"/>
          <c:showBubbleSize val="0"/>
        </c:dLbls>
        <c:smooth val="0"/>
        <c:axId val="1492957759"/>
        <c:axId val="1492900399"/>
      </c:lineChart>
      <c:catAx>
        <c:axId val="149295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900399"/>
        <c:crosses val="autoZero"/>
        <c:auto val="1"/>
        <c:lblAlgn val="ctr"/>
        <c:lblOffset val="100"/>
        <c:noMultiLvlLbl val="0"/>
      </c:catAx>
      <c:valAx>
        <c:axId val="149290039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9295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[mundra-port.xlsx]donut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2">
              <a:lumMod val="50000"/>
            </a:schemeClr>
          </a:solidFill>
          <a:ln>
            <a:noFill/>
          </a:ln>
          <a:effectLst/>
        </c:spPr>
      </c:pivotFmt>
      <c:pivotFmt>
        <c:idx val="6"/>
        <c:spPr>
          <a:solidFill>
            <a:schemeClr val="accent1"/>
          </a:solidFill>
          <a:ln>
            <a:noFill/>
          </a:ln>
          <a:effectLst/>
        </c:spPr>
      </c:pivotFmt>
    </c:pivotFmts>
    <c:plotArea>
      <c:layout/>
      <c:doughnutChart>
        <c:varyColors val="1"/>
        <c:ser>
          <c:idx val="0"/>
          <c:order val="0"/>
          <c:tx>
            <c:strRef>
              <c:f>'donut chart'!$C$8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0E0-6343-8EDA-2EB8503C3161}"/>
              </c:ext>
            </c:extLst>
          </c:dPt>
          <c:dPt>
            <c:idx val="1"/>
            <c:bubble3D val="0"/>
            <c:spPr>
              <a:solidFill>
                <a:schemeClr val="accent2"/>
              </a:solidFill>
              <a:ln>
                <a:noFill/>
              </a:ln>
              <a:effectLst/>
            </c:spPr>
            <c:extLst>
              <c:ext xmlns:c16="http://schemas.microsoft.com/office/drawing/2014/chart" uri="{C3380CC4-5D6E-409C-BE32-E72D297353CC}">
                <c16:uniqueId val="{00000003-C0E0-6343-8EDA-2EB8503C3161}"/>
              </c:ext>
            </c:extLst>
          </c:dPt>
          <c:dPt>
            <c:idx val="2"/>
            <c:bubble3D val="0"/>
            <c:spPr>
              <a:solidFill>
                <a:schemeClr val="accent3"/>
              </a:solidFill>
              <a:ln>
                <a:noFill/>
              </a:ln>
              <a:effectLst/>
            </c:spPr>
            <c:extLst>
              <c:ext xmlns:c16="http://schemas.microsoft.com/office/drawing/2014/chart" uri="{C3380CC4-5D6E-409C-BE32-E72D297353CC}">
                <c16:uniqueId val="{00000005-C0E0-6343-8EDA-2EB8503C3161}"/>
              </c:ext>
            </c:extLst>
          </c:dPt>
          <c:dPt>
            <c:idx val="3"/>
            <c:bubble3D val="0"/>
            <c:spPr>
              <a:solidFill>
                <a:schemeClr val="accent4"/>
              </a:solidFill>
              <a:ln>
                <a:noFill/>
              </a:ln>
              <a:effectLst/>
            </c:spPr>
            <c:extLst>
              <c:ext xmlns:c16="http://schemas.microsoft.com/office/drawing/2014/chart" uri="{C3380CC4-5D6E-409C-BE32-E72D297353CC}">
                <c16:uniqueId val="{00000007-C0E0-6343-8EDA-2EB8503C3161}"/>
              </c:ext>
            </c:extLst>
          </c:dPt>
          <c:dPt>
            <c:idx val="4"/>
            <c:bubble3D val="0"/>
            <c:spPr>
              <a:solidFill>
                <a:schemeClr val="accent5"/>
              </a:solidFill>
              <a:ln>
                <a:noFill/>
              </a:ln>
              <a:effectLst/>
            </c:spPr>
            <c:extLst>
              <c:ext xmlns:c16="http://schemas.microsoft.com/office/drawing/2014/chart" uri="{C3380CC4-5D6E-409C-BE32-E72D297353CC}">
                <c16:uniqueId val="{00000009-C0E0-6343-8EDA-2EB8503C3161}"/>
              </c:ext>
            </c:extLst>
          </c:dPt>
          <c:dPt>
            <c:idx val="5"/>
            <c:bubble3D val="0"/>
            <c:spPr>
              <a:solidFill>
                <a:schemeClr val="accent6"/>
              </a:solidFill>
              <a:ln>
                <a:noFill/>
              </a:ln>
              <a:effectLst/>
            </c:spPr>
            <c:extLst>
              <c:ext xmlns:c16="http://schemas.microsoft.com/office/drawing/2014/chart" uri="{C3380CC4-5D6E-409C-BE32-E72D297353CC}">
                <c16:uniqueId val="{0000000B-C0E0-6343-8EDA-2EB8503C3161}"/>
              </c:ext>
            </c:extLst>
          </c:dPt>
          <c:cat>
            <c:strRef>
              <c:f>'donut chart'!$B$9:$B$10</c:f>
              <c:strCache>
                <c:ptCount val="1"/>
                <c:pt idx="0">
                  <c:v>Crude Oil</c:v>
                </c:pt>
              </c:strCache>
            </c:strRef>
          </c:cat>
          <c:val>
            <c:numRef>
              <c:f>'donut chart'!$C$9:$C$10</c:f>
              <c:numCache>
                <c:formatCode>General</c:formatCode>
                <c:ptCount val="1"/>
                <c:pt idx="0">
                  <c:v>24893000</c:v>
                </c:pt>
              </c:numCache>
            </c:numRef>
          </c:val>
          <c:extLst>
            <c:ext xmlns:c16="http://schemas.microsoft.com/office/drawing/2014/chart" uri="{C3380CC4-5D6E-409C-BE32-E72D297353CC}">
              <c16:uniqueId val="{00000000-48B9-5D4D-86C1-0A42C7E138D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[mundra-port.xlsx]region wise column chart!PivotTable5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column chart'!$B$3:$B$4</c:f>
              <c:strCache>
                <c:ptCount val="1"/>
                <c:pt idx="0">
                  <c:v>Adani Ports and SEZ Ltd</c:v>
                </c:pt>
              </c:strCache>
            </c:strRef>
          </c:tx>
          <c:spPr>
            <a:solidFill>
              <a:schemeClr val="accent1"/>
            </a:solidFill>
            <a:ln>
              <a:noFill/>
            </a:ln>
            <a:effectLst/>
          </c:spPr>
          <c:invertIfNegative val="0"/>
          <c:cat>
            <c:strRef>
              <c:f>'region wise column chart'!$A$5:$A$10</c:f>
              <c:strCache>
                <c:ptCount val="5"/>
                <c:pt idx="0">
                  <c:v>Customs</c:v>
                </c:pt>
                <c:pt idx="1">
                  <c:v>Finance</c:v>
                </c:pt>
                <c:pt idx="2">
                  <c:v>Logistics</c:v>
                </c:pt>
                <c:pt idx="3">
                  <c:v>Operations</c:v>
                </c:pt>
                <c:pt idx="4">
                  <c:v>Security</c:v>
                </c:pt>
              </c:strCache>
            </c:strRef>
          </c:cat>
          <c:val>
            <c:numRef>
              <c:f>'region wise column chart'!$B$5:$B$10</c:f>
              <c:numCache>
                <c:formatCode>General</c:formatCode>
                <c:ptCount val="5"/>
                <c:pt idx="0">
                  <c:v>939000</c:v>
                </c:pt>
                <c:pt idx="1">
                  <c:v>1126500</c:v>
                </c:pt>
                <c:pt idx="2">
                  <c:v>2708500</c:v>
                </c:pt>
                <c:pt idx="3">
                  <c:v>1977000</c:v>
                </c:pt>
                <c:pt idx="4">
                  <c:v>1517500</c:v>
                </c:pt>
              </c:numCache>
            </c:numRef>
          </c:val>
          <c:extLst>
            <c:ext xmlns:c16="http://schemas.microsoft.com/office/drawing/2014/chart" uri="{C3380CC4-5D6E-409C-BE32-E72D297353CC}">
              <c16:uniqueId val="{00000000-483F-2247-880C-28497F3A44FB}"/>
            </c:ext>
          </c:extLst>
        </c:ser>
        <c:ser>
          <c:idx val="1"/>
          <c:order val="1"/>
          <c:tx>
            <c:strRef>
              <c:f>'region wise column chart'!$C$3:$C$4</c:f>
              <c:strCache>
                <c:ptCount val="1"/>
                <c:pt idx="0">
                  <c:v>JM Baxi Group</c:v>
                </c:pt>
              </c:strCache>
            </c:strRef>
          </c:tx>
          <c:spPr>
            <a:solidFill>
              <a:schemeClr val="accent2"/>
            </a:solidFill>
            <a:ln>
              <a:noFill/>
            </a:ln>
            <a:effectLst/>
          </c:spPr>
          <c:invertIfNegative val="0"/>
          <c:cat>
            <c:strRef>
              <c:f>'region wise column chart'!$A$5:$A$10</c:f>
              <c:strCache>
                <c:ptCount val="5"/>
                <c:pt idx="0">
                  <c:v>Customs</c:v>
                </c:pt>
                <c:pt idx="1">
                  <c:v>Finance</c:v>
                </c:pt>
                <c:pt idx="2">
                  <c:v>Logistics</c:v>
                </c:pt>
                <c:pt idx="3">
                  <c:v>Operations</c:v>
                </c:pt>
                <c:pt idx="4">
                  <c:v>Security</c:v>
                </c:pt>
              </c:strCache>
            </c:strRef>
          </c:cat>
          <c:val>
            <c:numRef>
              <c:f>'region wise column chart'!$C$5:$C$10</c:f>
              <c:numCache>
                <c:formatCode>General</c:formatCode>
                <c:ptCount val="5"/>
                <c:pt idx="0">
                  <c:v>1068500</c:v>
                </c:pt>
                <c:pt idx="1">
                  <c:v>1147000</c:v>
                </c:pt>
                <c:pt idx="2">
                  <c:v>1279500</c:v>
                </c:pt>
                <c:pt idx="3">
                  <c:v>1673000</c:v>
                </c:pt>
                <c:pt idx="4">
                  <c:v>1439500</c:v>
                </c:pt>
              </c:numCache>
            </c:numRef>
          </c:val>
          <c:extLst>
            <c:ext xmlns:c16="http://schemas.microsoft.com/office/drawing/2014/chart" uri="{C3380CC4-5D6E-409C-BE32-E72D297353CC}">
              <c16:uniqueId val="{00000002-483F-2247-880C-28497F3A44FB}"/>
            </c:ext>
          </c:extLst>
        </c:ser>
        <c:ser>
          <c:idx val="2"/>
          <c:order val="2"/>
          <c:tx>
            <c:strRef>
              <c:f>'region wise column chart'!$D$3:$D$4</c:f>
              <c:strCache>
                <c:ptCount val="1"/>
                <c:pt idx="0">
                  <c:v>Mundra Shipping Services</c:v>
                </c:pt>
              </c:strCache>
            </c:strRef>
          </c:tx>
          <c:spPr>
            <a:solidFill>
              <a:schemeClr val="accent3"/>
            </a:solidFill>
            <a:ln>
              <a:noFill/>
            </a:ln>
            <a:effectLst/>
          </c:spPr>
          <c:invertIfNegative val="0"/>
          <c:cat>
            <c:strRef>
              <c:f>'region wise column chart'!$A$5:$A$10</c:f>
              <c:strCache>
                <c:ptCount val="5"/>
                <c:pt idx="0">
                  <c:v>Customs</c:v>
                </c:pt>
                <c:pt idx="1">
                  <c:v>Finance</c:v>
                </c:pt>
                <c:pt idx="2">
                  <c:v>Logistics</c:v>
                </c:pt>
                <c:pt idx="3">
                  <c:v>Operations</c:v>
                </c:pt>
                <c:pt idx="4">
                  <c:v>Security</c:v>
                </c:pt>
              </c:strCache>
            </c:strRef>
          </c:cat>
          <c:val>
            <c:numRef>
              <c:f>'region wise column chart'!$D$5:$D$10</c:f>
              <c:numCache>
                <c:formatCode>General</c:formatCode>
                <c:ptCount val="5"/>
                <c:pt idx="0">
                  <c:v>1616000</c:v>
                </c:pt>
                <c:pt idx="1">
                  <c:v>1057500</c:v>
                </c:pt>
                <c:pt idx="2">
                  <c:v>3574000</c:v>
                </c:pt>
                <c:pt idx="3">
                  <c:v>1127500</c:v>
                </c:pt>
                <c:pt idx="4">
                  <c:v>2642000</c:v>
                </c:pt>
              </c:numCache>
            </c:numRef>
          </c:val>
          <c:extLst>
            <c:ext xmlns:c16="http://schemas.microsoft.com/office/drawing/2014/chart" uri="{C3380CC4-5D6E-409C-BE32-E72D297353CC}">
              <c16:uniqueId val="{00000003-483F-2247-880C-28497F3A44FB}"/>
            </c:ext>
          </c:extLst>
        </c:ser>
        <c:dLbls>
          <c:showLegendKey val="0"/>
          <c:showVal val="0"/>
          <c:showCatName val="0"/>
          <c:showSerName val="0"/>
          <c:showPercent val="0"/>
          <c:showBubbleSize val="0"/>
        </c:dLbls>
        <c:gapWidth val="219"/>
        <c:overlap val="-27"/>
        <c:axId val="1452189071"/>
        <c:axId val="1500330047"/>
      </c:barChart>
      <c:catAx>
        <c:axId val="145218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330047"/>
        <c:crosses val="autoZero"/>
        <c:auto val="1"/>
        <c:lblAlgn val="ctr"/>
        <c:lblOffset val="100"/>
        <c:noMultiLvlLbl val="0"/>
      </c:catAx>
      <c:valAx>
        <c:axId val="150033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18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[mundra-port.xlsx]line chart!PivotTable2</c:name>
    <c:fmtId val="3"/>
  </c:pivotSource>
  <c:chart>
    <c:title>
      <c:tx>
        <c:rich>
          <a:bodyPr rot="0" spcFirstLastPara="1" vertOverflow="ellipsis" vert="horz" wrap="square" anchor="t" anchorCtr="0"/>
          <a:lstStyle/>
          <a:p>
            <a:pPr>
              <a:defRPr sz="1200" b="0" i="0" u="none" strike="noStrike" kern="1200" spc="0" baseline="0">
                <a:ln>
                  <a:noFill/>
                </a:ln>
                <a:solidFill>
                  <a:schemeClr val="bg2">
                    <a:lumMod val="50000"/>
                  </a:schemeClr>
                </a:solidFill>
                <a:latin typeface="+mn-lt"/>
                <a:ea typeface="+mn-ea"/>
                <a:cs typeface="+mn-cs"/>
              </a:defRPr>
            </a:pPr>
            <a:r>
              <a:rPr lang="en-US" sz="1200" b="0">
                <a:ln>
                  <a:noFill/>
                </a:ln>
                <a:solidFill>
                  <a:schemeClr val="bg2">
                    <a:lumMod val="50000"/>
                  </a:schemeClr>
                </a:solidFill>
                <a:latin typeface="Segoe UI Historic" panose="020B0502040204020203" pitchFamily="34" charset="0"/>
                <a:ea typeface="Segoe UI Historic" panose="020B0502040204020203" pitchFamily="34" charset="0"/>
                <a:cs typeface="Segoe UI Historic" panose="020B0502040204020203" pitchFamily="34" charset="0"/>
              </a:rPr>
              <a:t>Monthly</a:t>
            </a:r>
            <a:r>
              <a:rPr lang="en-US" sz="1200" b="0" baseline="0">
                <a:ln>
                  <a:noFill/>
                </a:ln>
                <a:solidFill>
                  <a:schemeClr val="bg2">
                    <a:lumMod val="50000"/>
                  </a:schemeClr>
                </a:solidFill>
                <a:latin typeface="Segoe UI Historic" panose="020B0502040204020203" pitchFamily="34" charset="0"/>
                <a:ea typeface="Segoe UI Historic" panose="020B0502040204020203" pitchFamily="34" charset="0"/>
                <a:cs typeface="Segoe UI Historic" panose="020B0502040204020203" pitchFamily="34" charset="0"/>
              </a:rPr>
              <a:t> Charges Trend </a:t>
            </a:r>
            <a:endParaRPr lang="en-US" sz="1200" b="0">
              <a:ln>
                <a:noFill/>
              </a:ln>
              <a:solidFill>
                <a:schemeClr val="bg2">
                  <a:lumMod val="50000"/>
                </a:schemeClr>
              </a:solidFill>
              <a:latin typeface="Segoe UI Historic" panose="020B0502040204020203" pitchFamily="34" charset="0"/>
              <a:ea typeface="Segoe UI Historic" panose="020B0502040204020203" pitchFamily="34" charset="0"/>
              <a:cs typeface="Segoe UI Historic" panose="020B0502040204020203" pitchFamily="34" charset="0"/>
            </a:endParaRPr>
          </a:p>
        </c:rich>
      </c:tx>
      <c:layout>
        <c:manualLayout>
          <c:xMode val="edge"/>
          <c:yMode val="edge"/>
          <c:x val="3.1613611416026345E-2"/>
          <c:y val="3.0434782608695653E-2"/>
        </c:manualLayout>
      </c:layout>
      <c:overlay val="0"/>
      <c:spPr>
        <a:noFill/>
        <a:ln>
          <a:noFill/>
        </a:ln>
        <a:effectLst/>
      </c:spPr>
      <c:txPr>
        <a:bodyPr rot="0" spcFirstLastPara="1" vertOverflow="ellipsis" vert="horz" wrap="square" anchor="t" anchorCtr="0"/>
        <a:lstStyle/>
        <a:p>
          <a:pPr>
            <a:defRPr sz="1200" b="0" i="0" u="none" strike="noStrike" kern="1200" spc="0" baseline="0">
              <a:ln>
                <a:noFill/>
              </a:ln>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358ED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chart'!$C$5</c:f>
              <c:strCache>
                <c:ptCount val="1"/>
                <c:pt idx="0">
                  <c:v>Total</c:v>
                </c:pt>
              </c:strCache>
            </c:strRef>
          </c:tx>
          <c:spPr>
            <a:ln w="28575" cap="rnd">
              <a:solidFill>
                <a:srgbClr val="358EDF"/>
              </a:solidFill>
              <a:round/>
            </a:ln>
            <a:effectLst/>
          </c:spPr>
          <c:marker>
            <c:symbol val="none"/>
          </c:marker>
          <c:cat>
            <c:strRef>
              <c:f>'line chart'!$B$6:$B$18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chart'!$C$6:$C$18</c:f>
              <c:numCache>
                <c:formatCode>General</c:formatCode>
                <c:ptCount val="12"/>
                <c:pt idx="0">
                  <c:v>3224500</c:v>
                </c:pt>
                <c:pt idx="1">
                  <c:v>852000</c:v>
                </c:pt>
                <c:pt idx="2">
                  <c:v>2330000</c:v>
                </c:pt>
                <c:pt idx="3">
                  <c:v>3301500</c:v>
                </c:pt>
                <c:pt idx="4">
                  <c:v>1674500</c:v>
                </c:pt>
                <c:pt idx="5">
                  <c:v>2708500</c:v>
                </c:pt>
                <c:pt idx="6">
                  <c:v>2420500</c:v>
                </c:pt>
                <c:pt idx="7">
                  <c:v>2064000</c:v>
                </c:pt>
                <c:pt idx="8">
                  <c:v>2278000</c:v>
                </c:pt>
                <c:pt idx="9">
                  <c:v>628500</c:v>
                </c:pt>
                <c:pt idx="10">
                  <c:v>2079000</c:v>
                </c:pt>
                <c:pt idx="11">
                  <c:v>1332000</c:v>
                </c:pt>
              </c:numCache>
            </c:numRef>
          </c:val>
          <c:smooth val="0"/>
          <c:extLst>
            <c:ext xmlns:c16="http://schemas.microsoft.com/office/drawing/2014/chart" uri="{C3380CC4-5D6E-409C-BE32-E72D297353CC}">
              <c16:uniqueId val="{00000000-0DC5-B145-BF9B-D9DF2A4EB4D8}"/>
            </c:ext>
          </c:extLst>
        </c:ser>
        <c:dLbls>
          <c:showLegendKey val="0"/>
          <c:showVal val="0"/>
          <c:showCatName val="0"/>
          <c:showSerName val="0"/>
          <c:showPercent val="0"/>
          <c:showBubbleSize val="0"/>
        </c:dLbls>
        <c:smooth val="0"/>
        <c:axId val="1492957759"/>
        <c:axId val="1492900399"/>
      </c:lineChart>
      <c:catAx>
        <c:axId val="149295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ACAAAF"/>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1492900399"/>
        <c:crosses val="autoZero"/>
        <c:auto val="1"/>
        <c:lblAlgn val="ctr"/>
        <c:lblOffset val="100"/>
        <c:noMultiLvlLbl val="0"/>
      </c:catAx>
      <c:valAx>
        <c:axId val="1492900399"/>
        <c:scaling>
          <c:orientation val="minMax"/>
        </c:scaling>
        <c:delete val="0"/>
        <c:axPos val="l"/>
        <c:numFmt formatCode="General" sourceLinked="1"/>
        <c:majorTickMark val="none"/>
        <c:minorTickMark val="none"/>
        <c:tickLblPos val="nextTo"/>
        <c:spPr>
          <a:noFill/>
          <a:ln>
            <a:solidFill>
              <a:srgbClr val="CFCFCF"/>
            </a:solidFill>
          </a:ln>
          <a:effectLst/>
        </c:spPr>
        <c:txPr>
          <a:bodyPr rot="-60000000" spcFirstLastPara="1" vertOverflow="ellipsis" vert="horz" wrap="square" anchor="ctr" anchorCtr="1"/>
          <a:lstStyle/>
          <a:p>
            <a:pPr>
              <a:defRPr sz="1000" b="0" i="0" u="none" strike="noStrike" kern="1200" baseline="0">
                <a:solidFill>
                  <a:srgbClr val="ACAAAF"/>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1492957759"/>
        <c:crosses val="autoZero"/>
        <c:crossBetween val="between"/>
      </c:valAx>
      <c:spPr>
        <a:noFill/>
        <a:ln cmpd="thickThi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rot="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[mundra-port.xlsx]donut chart!PivotTable3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a:t>Charges</a:t>
            </a:r>
            <a:r>
              <a:rPr lang="en-US" sz="1200" b="0" baseline="0"/>
              <a:t> By Cargo </a:t>
            </a:r>
            <a:endParaRPr lang="en-US" sz="1200" b="0"/>
          </a:p>
        </c:rich>
      </c:tx>
      <c:layout>
        <c:manualLayout>
          <c:xMode val="edge"/>
          <c:yMode val="edge"/>
          <c:x val="4.4190871369294608E-2"/>
          <c:y val="3.09734513274336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rgbClr val="E6F2FC"/>
          </a:solidFill>
          <a:ln>
            <a:noFill/>
          </a:ln>
          <a:effectLst/>
        </c:spPr>
      </c:pivotFmt>
      <c:pivotFmt>
        <c:idx val="11"/>
        <c:spPr>
          <a:solidFill>
            <a:srgbClr val="378ADD"/>
          </a:solidFill>
          <a:ln>
            <a:noFill/>
          </a:ln>
          <a:effectLst/>
        </c:spPr>
      </c:pivotFmt>
      <c:pivotFmt>
        <c:idx val="12"/>
        <c:spPr>
          <a:solidFill>
            <a:schemeClr val="accent1"/>
          </a:solidFill>
          <a:ln>
            <a:noFill/>
          </a:ln>
          <a:effectLst/>
        </c:spPr>
      </c:pivotFmt>
      <c:pivotFmt>
        <c:idx val="13"/>
        <c:spPr>
          <a:solidFill>
            <a:srgbClr val="9FE1CB"/>
          </a:solidFill>
          <a:ln>
            <a:noFill/>
          </a:ln>
          <a:effectLst/>
        </c:spPr>
      </c:pivotFmt>
      <c:pivotFmt>
        <c:idx val="14"/>
        <c:spPr>
          <a:solidFill>
            <a:schemeClr val="accent1"/>
          </a:solidFill>
          <a:ln>
            <a:noFill/>
          </a:ln>
          <a:effectLst/>
        </c:spPr>
      </c:pivotFmt>
    </c:pivotFmts>
    <c:plotArea>
      <c:layout/>
      <c:doughnutChart>
        <c:varyColors val="1"/>
        <c:ser>
          <c:idx val="0"/>
          <c:order val="0"/>
          <c:tx>
            <c:strRef>
              <c:f>'donut chart'!$C$8</c:f>
              <c:strCache>
                <c:ptCount val="1"/>
                <c:pt idx="0">
                  <c:v>Total</c:v>
                </c:pt>
              </c:strCache>
            </c:strRef>
          </c:tx>
          <c:dPt>
            <c:idx val="0"/>
            <c:bubble3D val="0"/>
            <c:spPr>
              <a:solidFill>
                <a:srgbClr val="378ADD"/>
              </a:solidFill>
              <a:ln>
                <a:noFill/>
              </a:ln>
              <a:effectLst/>
            </c:spPr>
            <c:extLst>
              <c:ext xmlns:c16="http://schemas.microsoft.com/office/drawing/2014/chart" uri="{C3380CC4-5D6E-409C-BE32-E72D297353CC}">
                <c16:uniqueId val="{00000001-65DA-F843-8ADD-3DEAA7FEF174}"/>
              </c:ext>
            </c:extLst>
          </c:dPt>
          <c:dPt>
            <c:idx val="1"/>
            <c:bubble3D val="0"/>
            <c:spPr>
              <a:solidFill>
                <a:schemeClr val="accent3"/>
              </a:solidFill>
              <a:ln>
                <a:noFill/>
              </a:ln>
              <a:effectLst/>
            </c:spPr>
            <c:extLst>
              <c:ext xmlns:c16="http://schemas.microsoft.com/office/drawing/2014/chart" uri="{C3380CC4-5D6E-409C-BE32-E72D297353CC}">
                <c16:uniqueId val="{00000003-65DA-F843-8ADD-3DEAA7FEF174}"/>
              </c:ext>
            </c:extLst>
          </c:dPt>
          <c:dPt>
            <c:idx val="2"/>
            <c:bubble3D val="0"/>
            <c:spPr>
              <a:solidFill>
                <a:schemeClr val="accent5"/>
              </a:solidFill>
              <a:ln>
                <a:noFill/>
              </a:ln>
              <a:effectLst/>
            </c:spPr>
            <c:extLst>
              <c:ext xmlns:c16="http://schemas.microsoft.com/office/drawing/2014/chart" uri="{C3380CC4-5D6E-409C-BE32-E72D297353CC}">
                <c16:uniqueId val="{00000005-65DA-F843-8ADD-3DEAA7FEF174}"/>
              </c:ext>
            </c:extLst>
          </c:dPt>
          <c:dPt>
            <c:idx val="3"/>
            <c:bubble3D val="0"/>
            <c:spPr>
              <a:solidFill>
                <a:schemeClr val="accent1">
                  <a:lumMod val="60000"/>
                </a:schemeClr>
              </a:solidFill>
              <a:ln>
                <a:noFill/>
              </a:ln>
              <a:effectLst/>
            </c:spPr>
            <c:extLst>
              <c:ext xmlns:c16="http://schemas.microsoft.com/office/drawing/2014/chart" uri="{C3380CC4-5D6E-409C-BE32-E72D297353CC}">
                <c16:uniqueId val="{00000007-65DA-F843-8ADD-3DEAA7FEF174}"/>
              </c:ext>
            </c:extLst>
          </c:dPt>
          <c:dPt>
            <c:idx val="4"/>
            <c:bubble3D val="0"/>
            <c:spPr>
              <a:solidFill>
                <a:schemeClr val="accent3">
                  <a:lumMod val="60000"/>
                </a:schemeClr>
              </a:solidFill>
              <a:ln>
                <a:noFill/>
              </a:ln>
              <a:effectLst/>
            </c:spPr>
            <c:extLst>
              <c:ext xmlns:c16="http://schemas.microsoft.com/office/drawing/2014/chart" uri="{C3380CC4-5D6E-409C-BE32-E72D297353CC}">
                <c16:uniqueId val="{00000009-65DA-F843-8ADD-3DEAA7FEF174}"/>
              </c:ext>
            </c:extLst>
          </c:dPt>
          <c:dPt>
            <c:idx val="5"/>
            <c:bubble3D val="0"/>
            <c:spPr>
              <a:solidFill>
                <a:schemeClr val="accent5">
                  <a:lumMod val="60000"/>
                </a:schemeClr>
              </a:solidFill>
              <a:ln>
                <a:noFill/>
              </a:ln>
              <a:effectLst/>
            </c:spPr>
            <c:extLst>
              <c:ext xmlns:c16="http://schemas.microsoft.com/office/drawing/2014/chart" uri="{C3380CC4-5D6E-409C-BE32-E72D297353CC}">
                <c16:uniqueId val="{0000000B-65DA-F843-8ADD-3DEAA7FEF174}"/>
              </c:ext>
            </c:extLst>
          </c:dPt>
          <c:cat>
            <c:strRef>
              <c:f>'donut chart'!$B$9:$B$10</c:f>
              <c:strCache>
                <c:ptCount val="1"/>
                <c:pt idx="0">
                  <c:v>Crude Oil</c:v>
                </c:pt>
              </c:strCache>
            </c:strRef>
          </c:cat>
          <c:val>
            <c:numRef>
              <c:f>'donut chart'!$C$9:$C$10</c:f>
              <c:numCache>
                <c:formatCode>General</c:formatCode>
                <c:ptCount val="1"/>
                <c:pt idx="0">
                  <c:v>24893000</c:v>
                </c:pt>
              </c:numCache>
            </c:numRef>
          </c:val>
          <c:extLst>
            <c:ext xmlns:c16="http://schemas.microsoft.com/office/drawing/2014/chart" uri="{C3380CC4-5D6E-409C-BE32-E72D297353CC}">
              <c16:uniqueId val="{0000000C-65DA-F843-8ADD-3DEAA7FEF17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[mundra-port.xlsx]2d bar!PivotTable4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a:t>
            </a:r>
            <a:r>
              <a:rPr lang="en-US" sz="1200" baseline="0"/>
              <a:t> 5 Vessel</a:t>
            </a:r>
            <a:endParaRPr lang="en-US" sz="1200"/>
          </a:p>
        </c:rich>
      </c:tx>
      <c:layout>
        <c:manualLayout>
          <c:xMode val="edge"/>
          <c:yMode val="edge"/>
          <c:x val="2.7944862155388488E-2"/>
          <c:y val="4.18410041841004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78A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'2d bar'!$C$8</c:f>
              <c:strCache>
                <c:ptCount val="1"/>
                <c:pt idx="0">
                  <c:v>Total</c:v>
                </c:pt>
              </c:strCache>
            </c:strRef>
          </c:tx>
          <c:spPr>
            <a:solidFill>
              <a:srgbClr val="378ADD"/>
            </a:solidFill>
            <a:ln>
              <a:noFill/>
            </a:ln>
            <a:effectLst/>
          </c:spPr>
          <c:invertIfNegative val="0"/>
          <c:cat>
            <c:strRef>
              <c:f>'2d bar'!$B$9:$B$14</c:f>
              <c:strCache>
                <c:ptCount val="5"/>
                <c:pt idx="0">
                  <c:v>MT Arabian Prince</c:v>
                </c:pt>
                <c:pt idx="1">
                  <c:v>MT Crude Power</c:v>
                </c:pt>
                <c:pt idx="2">
                  <c:v>MT Desert Storm</c:v>
                </c:pt>
                <c:pt idx="3">
                  <c:v>MT Gulf Star</c:v>
                </c:pt>
                <c:pt idx="4">
                  <c:v>MT Ocean Tanker</c:v>
                </c:pt>
              </c:strCache>
            </c:strRef>
          </c:cat>
          <c:val>
            <c:numRef>
              <c:f>'2d bar'!$C$9:$C$14</c:f>
              <c:numCache>
                <c:formatCode>General</c:formatCode>
                <c:ptCount val="5"/>
                <c:pt idx="0">
                  <c:v>5165500</c:v>
                </c:pt>
                <c:pt idx="1">
                  <c:v>5374000</c:v>
                </c:pt>
                <c:pt idx="2">
                  <c:v>5302000</c:v>
                </c:pt>
                <c:pt idx="3">
                  <c:v>3088500</c:v>
                </c:pt>
                <c:pt idx="4">
                  <c:v>5663500</c:v>
                </c:pt>
              </c:numCache>
            </c:numRef>
          </c:val>
          <c:extLst>
            <c:ext xmlns:c16="http://schemas.microsoft.com/office/drawing/2014/chart" uri="{C3380CC4-5D6E-409C-BE32-E72D297353CC}">
              <c16:uniqueId val="{00000000-EED2-A245-8A2E-3623607B90D3}"/>
            </c:ext>
          </c:extLst>
        </c:ser>
        <c:dLbls>
          <c:showLegendKey val="0"/>
          <c:showVal val="0"/>
          <c:showCatName val="0"/>
          <c:showSerName val="0"/>
          <c:showPercent val="0"/>
          <c:showBubbleSize val="0"/>
        </c:dLbls>
        <c:gapWidth val="219"/>
        <c:axId val="1493388799"/>
        <c:axId val="1497082255"/>
      </c:barChart>
      <c:catAx>
        <c:axId val="1493388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ACAAAF"/>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1497082255"/>
        <c:crosses val="autoZero"/>
        <c:auto val="1"/>
        <c:lblAlgn val="ctr"/>
        <c:lblOffset val="100"/>
        <c:noMultiLvlLbl val="0"/>
      </c:catAx>
      <c:valAx>
        <c:axId val="1497082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ACAAAF"/>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1493388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[mundra-port.xlsx]region wise column chart!PivotTable5</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0" i="0" u="none" strike="noStrike" baseline="0"/>
              <a:t>Department-wise Charges by Operator</a:t>
            </a:r>
            <a:endParaRPr lang="en-GB" sz="1200"/>
          </a:p>
        </c:rich>
      </c:tx>
      <c:layout>
        <c:manualLayout>
          <c:xMode val="edge"/>
          <c:yMode val="edge"/>
          <c:x val="5.6825349670456965E-2"/>
          <c:y val="2.03252032520325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78A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FE1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372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834672003792162E-2"/>
          <c:y val="0.12075571346264644"/>
          <c:w val="0.89577067916677644"/>
          <c:h val="0.78177261378912999"/>
        </c:manualLayout>
      </c:layout>
      <c:barChart>
        <c:barDir val="col"/>
        <c:grouping val="clustered"/>
        <c:varyColors val="0"/>
        <c:ser>
          <c:idx val="0"/>
          <c:order val="0"/>
          <c:tx>
            <c:strRef>
              <c:f>'region wise column chart'!$B$3:$B$4</c:f>
              <c:strCache>
                <c:ptCount val="1"/>
                <c:pt idx="0">
                  <c:v>Adani Ports and SEZ Ltd</c:v>
                </c:pt>
              </c:strCache>
            </c:strRef>
          </c:tx>
          <c:spPr>
            <a:solidFill>
              <a:srgbClr val="378ADD"/>
            </a:solidFill>
            <a:ln>
              <a:noFill/>
            </a:ln>
            <a:effectLst/>
          </c:spPr>
          <c:invertIfNegative val="0"/>
          <c:cat>
            <c:strRef>
              <c:f>'region wise column chart'!$A$5:$A$10</c:f>
              <c:strCache>
                <c:ptCount val="5"/>
                <c:pt idx="0">
                  <c:v>Customs</c:v>
                </c:pt>
                <c:pt idx="1">
                  <c:v>Finance</c:v>
                </c:pt>
                <c:pt idx="2">
                  <c:v>Logistics</c:v>
                </c:pt>
                <c:pt idx="3">
                  <c:v>Operations</c:v>
                </c:pt>
                <c:pt idx="4">
                  <c:v>Security</c:v>
                </c:pt>
              </c:strCache>
            </c:strRef>
          </c:cat>
          <c:val>
            <c:numRef>
              <c:f>'region wise column chart'!$B$5:$B$10</c:f>
              <c:numCache>
                <c:formatCode>General</c:formatCode>
                <c:ptCount val="5"/>
                <c:pt idx="0">
                  <c:v>939000</c:v>
                </c:pt>
                <c:pt idx="1">
                  <c:v>1126500</c:v>
                </c:pt>
                <c:pt idx="2">
                  <c:v>2708500</c:v>
                </c:pt>
                <c:pt idx="3">
                  <c:v>1977000</c:v>
                </c:pt>
                <c:pt idx="4">
                  <c:v>1517500</c:v>
                </c:pt>
              </c:numCache>
            </c:numRef>
          </c:val>
          <c:extLst>
            <c:ext xmlns:c16="http://schemas.microsoft.com/office/drawing/2014/chart" uri="{C3380CC4-5D6E-409C-BE32-E72D297353CC}">
              <c16:uniqueId val="{00000000-DB26-AE4A-BA2F-7116C8B99E8C}"/>
            </c:ext>
          </c:extLst>
        </c:ser>
        <c:ser>
          <c:idx val="1"/>
          <c:order val="1"/>
          <c:tx>
            <c:strRef>
              <c:f>'region wise column chart'!$C$3:$C$4</c:f>
              <c:strCache>
                <c:ptCount val="1"/>
                <c:pt idx="0">
                  <c:v>JM Baxi Group</c:v>
                </c:pt>
              </c:strCache>
            </c:strRef>
          </c:tx>
          <c:spPr>
            <a:solidFill>
              <a:srgbClr val="9FE1CB"/>
            </a:solidFill>
            <a:ln>
              <a:noFill/>
            </a:ln>
            <a:effectLst/>
          </c:spPr>
          <c:invertIfNegative val="0"/>
          <c:cat>
            <c:strRef>
              <c:f>'region wise column chart'!$A$5:$A$10</c:f>
              <c:strCache>
                <c:ptCount val="5"/>
                <c:pt idx="0">
                  <c:v>Customs</c:v>
                </c:pt>
                <c:pt idx="1">
                  <c:v>Finance</c:v>
                </c:pt>
                <c:pt idx="2">
                  <c:v>Logistics</c:v>
                </c:pt>
                <c:pt idx="3">
                  <c:v>Operations</c:v>
                </c:pt>
                <c:pt idx="4">
                  <c:v>Security</c:v>
                </c:pt>
              </c:strCache>
            </c:strRef>
          </c:cat>
          <c:val>
            <c:numRef>
              <c:f>'region wise column chart'!$C$5:$C$10</c:f>
              <c:numCache>
                <c:formatCode>General</c:formatCode>
                <c:ptCount val="5"/>
                <c:pt idx="0">
                  <c:v>1068500</c:v>
                </c:pt>
                <c:pt idx="1">
                  <c:v>1147000</c:v>
                </c:pt>
                <c:pt idx="2">
                  <c:v>1279500</c:v>
                </c:pt>
                <c:pt idx="3">
                  <c:v>1673000</c:v>
                </c:pt>
                <c:pt idx="4">
                  <c:v>1439500</c:v>
                </c:pt>
              </c:numCache>
            </c:numRef>
          </c:val>
          <c:extLst>
            <c:ext xmlns:c16="http://schemas.microsoft.com/office/drawing/2014/chart" uri="{C3380CC4-5D6E-409C-BE32-E72D297353CC}">
              <c16:uniqueId val="{00000001-DB26-AE4A-BA2F-7116C8B99E8C}"/>
            </c:ext>
          </c:extLst>
        </c:ser>
        <c:ser>
          <c:idx val="2"/>
          <c:order val="2"/>
          <c:tx>
            <c:strRef>
              <c:f>'region wise column chart'!$D$3:$D$4</c:f>
              <c:strCache>
                <c:ptCount val="1"/>
                <c:pt idx="0">
                  <c:v>Mundra Shipping Services</c:v>
                </c:pt>
              </c:strCache>
            </c:strRef>
          </c:tx>
          <c:spPr>
            <a:solidFill>
              <a:srgbClr val="4372C5"/>
            </a:solidFill>
            <a:ln>
              <a:noFill/>
            </a:ln>
            <a:effectLst/>
          </c:spPr>
          <c:invertIfNegative val="0"/>
          <c:cat>
            <c:strRef>
              <c:f>'region wise column chart'!$A$5:$A$10</c:f>
              <c:strCache>
                <c:ptCount val="5"/>
                <c:pt idx="0">
                  <c:v>Customs</c:v>
                </c:pt>
                <c:pt idx="1">
                  <c:v>Finance</c:v>
                </c:pt>
                <c:pt idx="2">
                  <c:v>Logistics</c:v>
                </c:pt>
                <c:pt idx="3">
                  <c:v>Operations</c:v>
                </c:pt>
                <c:pt idx="4">
                  <c:v>Security</c:v>
                </c:pt>
              </c:strCache>
            </c:strRef>
          </c:cat>
          <c:val>
            <c:numRef>
              <c:f>'region wise column chart'!$D$5:$D$10</c:f>
              <c:numCache>
                <c:formatCode>General</c:formatCode>
                <c:ptCount val="5"/>
                <c:pt idx="0">
                  <c:v>1616000</c:v>
                </c:pt>
                <c:pt idx="1">
                  <c:v>1057500</c:v>
                </c:pt>
                <c:pt idx="2">
                  <c:v>3574000</c:v>
                </c:pt>
                <c:pt idx="3">
                  <c:v>1127500</c:v>
                </c:pt>
                <c:pt idx="4">
                  <c:v>2642000</c:v>
                </c:pt>
              </c:numCache>
            </c:numRef>
          </c:val>
          <c:extLst>
            <c:ext xmlns:c16="http://schemas.microsoft.com/office/drawing/2014/chart" uri="{C3380CC4-5D6E-409C-BE32-E72D297353CC}">
              <c16:uniqueId val="{00000002-DB26-AE4A-BA2F-7116C8B99E8C}"/>
            </c:ext>
          </c:extLst>
        </c:ser>
        <c:dLbls>
          <c:showLegendKey val="0"/>
          <c:showVal val="0"/>
          <c:showCatName val="0"/>
          <c:showSerName val="0"/>
          <c:showPercent val="0"/>
          <c:showBubbleSize val="0"/>
        </c:dLbls>
        <c:gapWidth val="219"/>
        <c:overlap val="-27"/>
        <c:axId val="1452189071"/>
        <c:axId val="1500330047"/>
      </c:barChart>
      <c:catAx>
        <c:axId val="145218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ACAAAF"/>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1500330047"/>
        <c:crosses val="autoZero"/>
        <c:auto val="1"/>
        <c:lblAlgn val="ctr"/>
        <c:lblOffset val="100"/>
        <c:noMultiLvlLbl val="0"/>
      </c:catAx>
      <c:valAx>
        <c:axId val="1500330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ACAAAF"/>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1452189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[mundra-port.xlsx]2d bar!PivotTable4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'2d bar'!$C$8</c:f>
              <c:strCache>
                <c:ptCount val="1"/>
                <c:pt idx="0">
                  <c:v>Total</c:v>
                </c:pt>
              </c:strCache>
            </c:strRef>
          </c:tx>
          <c:spPr>
            <a:solidFill>
              <a:schemeClr val="accent1"/>
            </a:solidFill>
            <a:ln>
              <a:noFill/>
            </a:ln>
            <a:effectLst/>
          </c:spPr>
          <c:invertIfNegative val="0"/>
          <c:cat>
            <c:strRef>
              <c:f>'2d bar'!$B$9:$B$14</c:f>
              <c:strCache>
                <c:ptCount val="5"/>
                <c:pt idx="0">
                  <c:v>MT Arabian Prince</c:v>
                </c:pt>
                <c:pt idx="1">
                  <c:v>MT Crude Power</c:v>
                </c:pt>
                <c:pt idx="2">
                  <c:v>MT Desert Storm</c:v>
                </c:pt>
                <c:pt idx="3">
                  <c:v>MT Gulf Star</c:v>
                </c:pt>
                <c:pt idx="4">
                  <c:v>MT Ocean Tanker</c:v>
                </c:pt>
              </c:strCache>
            </c:strRef>
          </c:cat>
          <c:val>
            <c:numRef>
              <c:f>'2d bar'!$C$9:$C$14</c:f>
              <c:numCache>
                <c:formatCode>General</c:formatCode>
                <c:ptCount val="5"/>
                <c:pt idx="0">
                  <c:v>5165500</c:v>
                </c:pt>
                <c:pt idx="1">
                  <c:v>5374000</c:v>
                </c:pt>
                <c:pt idx="2">
                  <c:v>5302000</c:v>
                </c:pt>
                <c:pt idx="3">
                  <c:v>3088500</c:v>
                </c:pt>
                <c:pt idx="4">
                  <c:v>5663500</c:v>
                </c:pt>
              </c:numCache>
            </c:numRef>
          </c:val>
          <c:extLst>
            <c:ext xmlns:c16="http://schemas.microsoft.com/office/drawing/2014/chart" uri="{C3380CC4-5D6E-409C-BE32-E72D297353CC}">
              <c16:uniqueId val="{00000000-F7F9-784C-B91D-4644C600E652}"/>
            </c:ext>
          </c:extLst>
        </c:ser>
        <c:dLbls>
          <c:showLegendKey val="0"/>
          <c:showVal val="0"/>
          <c:showCatName val="0"/>
          <c:showSerName val="0"/>
          <c:showPercent val="0"/>
          <c:showBubbleSize val="0"/>
        </c:dLbls>
        <c:gapWidth val="219"/>
        <c:axId val="1493388799"/>
        <c:axId val="1497082255"/>
      </c:barChart>
      <c:catAx>
        <c:axId val="1493388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082255"/>
        <c:crosses val="autoZero"/>
        <c:auto val="1"/>
        <c:lblAlgn val="ctr"/>
        <c:lblOffset val="100"/>
        <c:noMultiLvlLbl val="0"/>
      </c:catAx>
      <c:valAx>
        <c:axId val="1497082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38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609600</xdr:colOff>
      <xdr:row>9</xdr:row>
      <xdr:rowOff>88900</xdr:rowOff>
    </xdr:from>
    <xdr:to>
      <xdr:col>10</xdr:col>
      <xdr:colOff>228600</xdr:colOff>
      <xdr:row>22</xdr:row>
      <xdr:rowOff>190500</xdr:rowOff>
    </xdr:to>
    <xdr:graphicFrame macro="">
      <xdr:nvGraphicFramePr>
        <xdr:cNvPr id="5" name="Chart 4">
          <a:extLst>
            <a:ext uri="{FF2B5EF4-FFF2-40B4-BE49-F238E27FC236}">
              <a16:creationId xmlns:a16="http://schemas.microsoft.com/office/drawing/2014/main" id="{8B49AC33-A9EC-4A2F-B5B3-F0B3844A4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3111500</xdr:colOff>
      <xdr:row>13</xdr:row>
      <xdr:rowOff>190500</xdr:rowOff>
    </xdr:from>
    <xdr:to>
      <xdr:col>6</xdr:col>
      <xdr:colOff>1143000</xdr:colOff>
      <xdr:row>16</xdr:row>
      <xdr:rowOff>25400</xdr:rowOff>
    </xdr:to>
    <mc:AlternateContent xmlns:mc="http://schemas.openxmlformats.org/markup-compatibility/2006" xmlns:a14="http://schemas.microsoft.com/office/drawing/2010/main">
      <mc:Choice Requires="a14">
        <xdr:graphicFrame macro="">
          <xdr:nvGraphicFramePr>
            <xdr:cNvPr id="2" name="Cargo_type">
              <a:extLst>
                <a:ext uri="{FF2B5EF4-FFF2-40B4-BE49-F238E27FC236}">
                  <a16:creationId xmlns:a16="http://schemas.microsoft.com/office/drawing/2014/main" id="{D1AD2E86-7220-6DBC-7747-A9B2CAC35435}"/>
                </a:ext>
              </a:extLst>
            </xdr:cNvPr>
            <xdr:cNvGraphicFramePr/>
          </xdr:nvGraphicFramePr>
          <xdr:xfrm>
            <a:off x="0" y="0"/>
            <a:ext cx="0" cy="0"/>
          </xdr:xfrm>
          <a:graphic>
            <a:graphicData uri="http://schemas.microsoft.com/office/drawing/2010/slicer">
              <sle:slicer xmlns:sle="http://schemas.microsoft.com/office/drawing/2010/slicer" name="Cargo_type"/>
            </a:graphicData>
          </a:graphic>
        </xdr:graphicFrame>
      </mc:Choice>
      <mc:Fallback xmlns="">
        <xdr:sp macro="" textlink="">
          <xdr:nvSpPr>
            <xdr:cNvPr id="0" name=""/>
            <xdr:cNvSpPr>
              <a:spLocks noTextEdit="1"/>
            </xdr:cNvSpPr>
          </xdr:nvSpPr>
          <xdr:spPr>
            <a:xfrm>
              <a:off x="6311900" y="3048000"/>
              <a:ext cx="6019800" cy="444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774700</xdr:colOff>
      <xdr:row>9</xdr:row>
      <xdr:rowOff>88900</xdr:rowOff>
    </xdr:from>
    <xdr:to>
      <xdr:col>10</xdr:col>
      <xdr:colOff>393700</xdr:colOff>
      <xdr:row>22</xdr:row>
      <xdr:rowOff>190500</xdr:rowOff>
    </xdr:to>
    <xdr:graphicFrame macro="">
      <xdr:nvGraphicFramePr>
        <xdr:cNvPr id="2" name="Chart 1">
          <a:extLst>
            <a:ext uri="{FF2B5EF4-FFF2-40B4-BE49-F238E27FC236}">
              <a16:creationId xmlns:a16="http://schemas.microsoft.com/office/drawing/2014/main" id="{BC8EEF81-D206-C2B6-ED5D-90E989793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774700</xdr:colOff>
      <xdr:row>12</xdr:row>
      <xdr:rowOff>25400</xdr:rowOff>
    </xdr:from>
    <xdr:to>
      <xdr:col>10</xdr:col>
      <xdr:colOff>393700</xdr:colOff>
      <xdr:row>25</xdr:row>
      <xdr:rowOff>127000</xdr:rowOff>
    </xdr:to>
    <xdr:graphicFrame macro="">
      <xdr:nvGraphicFramePr>
        <xdr:cNvPr id="2" name="Chart 1">
          <a:extLst>
            <a:ext uri="{FF2B5EF4-FFF2-40B4-BE49-F238E27FC236}">
              <a16:creationId xmlns:a16="http://schemas.microsoft.com/office/drawing/2014/main" id="{FE4EAED0-B115-0E29-75F8-3718E0582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101599</xdr:colOff>
      <xdr:row>3</xdr:row>
      <xdr:rowOff>5588</xdr:rowOff>
    </xdr:from>
    <xdr:to>
      <xdr:col>5</xdr:col>
      <xdr:colOff>271445</xdr:colOff>
      <xdr:row>9</xdr:row>
      <xdr:rowOff>84836</xdr:rowOff>
    </xdr:to>
    <xdr:sp macro="" textlink="">
      <xdr:nvSpPr>
        <xdr:cNvPr id="10" name="Rounded Rectangle 9">
          <a:extLst>
            <a:ext uri="{FF2B5EF4-FFF2-40B4-BE49-F238E27FC236}">
              <a16:creationId xmlns:a16="http://schemas.microsoft.com/office/drawing/2014/main" id="{6EE988D6-5066-2D4D-8870-F0AF99B2EB04}"/>
            </a:ext>
          </a:extLst>
        </xdr:cNvPr>
        <xdr:cNvSpPr>
          <a:spLocks/>
        </xdr:cNvSpPr>
      </xdr:nvSpPr>
      <xdr:spPr>
        <a:xfrm>
          <a:off x="101599" y="615188"/>
          <a:ext cx="4297346" cy="1298448"/>
        </a:xfrm>
        <a:prstGeom prst="roundRect">
          <a:avLst>
            <a:gd name="adj" fmla="val 11303"/>
          </a:avLst>
        </a:prstGeom>
        <a:ln w="3175">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a:p>
      </xdr:txBody>
    </xdr:sp>
    <xdr:clientData/>
  </xdr:twoCellAnchor>
  <xdr:twoCellAnchor>
    <xdr:from>
      <xdr:col>5</xdr:col>
      <xdr:colOff>579824</xdr:colOff>
      <xdr:row>3</xdr:row>
      <xdr:rowOff>7112</xdr:rowOff>
    </xdr:from>
    <xdr:to>
      <xdr:col>10</xdr:col>
      <xdr:colOff>749299</xdr:colOff>
      <xdr:row>9</xdr:row>
      <xdr:rowOff>83312</xdr:rowOff>
    </xdr:to>
    <xdr:sp macro="" textlink="">
      <xdr:nvSpPr>
        <xdr:cNvPr id="12" name="Rounded Rectangle 11">
          <a:extLst>
            <a:ext uri="{FF2B5EF4-FFF2-40B4-BE49-F238E27FC236}">
              <a16:creationId xmlns:a16="http://schemas.microsoft.com/office/drawing/2014/main" id="{D3DB8DF7-B6B3-4E48-BEA4-25D8E55EFE97}"/>
            </a:ext>
          </a:extLst>
        </xdr:cNvPr>
        <xdr:cNvSpPr>
          <a:spLocks noChangeAspect="1"/>
        </xdr:cNvSpPr>
      </xdr:nvSpPr>
      <xdr:spPr>
        <a:xfrm>
          <a:off x="4707324" y="616712"/>
          <a:ext cx="4296975" cy="1295400"/>
        </a:xfrm>
        <a:prstGeom prst="roundRect">
          <a:avLst>
            <a:gd name="adj" fmla="val 11303"/>
          </a:avLst>
        </a:prstGeom>
        <a:ln w="31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ln>
              <a:solidFill>
                <a:schemeClr val="bg1"/>
              </a:solidFill>
            </a:ln>
            <a:solidFill>
              <a:schemeClr val="tx1"/>
            </a:solidFill>
          </a:endParaRPr>
        </a:p>
      </xdr:txBody>
    </xdr:sp>
    <xdr:clientData/>
  </xdr:twoCellAnchor>
  <xdr:twoCellAnchor>
    <xdr:from>
      <xdr:col>11</xdr:col>
      <xdr:colOff>232184</xdr:colOff>
      <xdr:row>3</xdr:row>
      <xdr:rowOff>7112</xdr:rowOff>
    </xdr:from>
    <xdr:to>
      <xdr:col>16</xdr:col>
      <xdr:colOff>401659</xdr:colOff>
      <xdr:row>9</xdr:row>
      <xdr:rowOff>83312</xdr:rowOff>
    </xdr:to>
    <xdr:sp macro="" textlink="">
      <xdr:nvSpPr>
        <xdr:cNvPr id="13" name="Rounded Rectangle 12">
          <a:extLst>
            <a:ext uri="{FF2B5EF4-FFF2-40B4-BE49-F238E27FC236}">
              <a16:creationId xmlns:a16="http://schemas.microsoft.com/office/drawing/2014/main" id="{792B578B-5C23-4D45-97EE-F44CE968288B}"/>
            </a:ext>
          </a:extLst>
        </xdr:cNvPr>
        <xdr:cNvSpPr>
          <a:spLocks noChangeAspect="1"/>
        </xdr:cNvSpPr>
      </xdr:nvSpPr>
      <xdr:spPr>
        <a:xfrm>
          <a:off x="9312684" y="616712"/>
          <a:ext cx="4296975" cy="1295400"/>
        </a:xfrm>
        <a:prstGeom prst="roundRect">
          <a:avLst>
            <a:gd name="adj" fmla="val 11303"/>
          </a:avLst>
        </a:prstGeom>
        <a:ln w="3175">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solidFill>
              <a:schemeClr val="tx1"/>
            </a:solidFill>
          </a:endParaRPr>
        </a:p>
      </xdr:txBody>
    </xdr:sp>
    <xdr:clientData/>
  </xdr:twoCellAnchor>
  <xdr:twoCellAnchor>
    <xdr:from>
      <xdr:col>16</xdr:col>
      <xdr:colOff>710044</xdr:colOff>
      <xdr:row>3</xdr:row>
      <xdr:rowOff>7203</xdr:rowOff>
    </xdr:from>
    <xdr:to>
      <xdr:col>22</xdr:col>
      <xdr:colOff>53417</xdr:colOff>
      <xdr:row>9</xdr:row>
      <xdr:rowOff>83221</xdr:rowOff>
    </xdr:to>
    <xdr:sp macro="" textlink="">
      <xdr:nvSpPr>
        <xdr:cNvPr id="14" name="Rounded Rectangle 13">
          <a:extLst>
            <a:ext uri="{FF2B5EF4-FFF2-40B4-BE49-F238E27FC236}">
              <a16:creationId xmlns:a16="http://schemas.microsoft.com/office/drawing/2014/main" id="{E49D2B9D-43CF-5C4A-B2C8-0571EC6AEA76}"/>
            </a:ext>
          </a:extLst>
        </xdr:cNvPr>
        <xdr:cNvSpPr>
          <a:spLocks noChangeAspect="1"/>
        </xdr:cNvSpPr>
      </xdr:nvSpPr>
      <xdr:spPr>
        <a:xfrm>
          <a:off x="13918044" y="616803"/>
          <a:ext cx="4296373" cy="1295218"/>
        </a:xfrm>
        <a:prstGeom prst="roundRect">
          <a:avLst>
            <a:gd name="adj" fmla="val 11303"/>
          </a:avLst>
        </a:prstGeom>
        <a:ln w="3175">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GB" sz="1100">
              <a:solidFill>
                <a:schemeClr val="tx1"/>
              </a:solidFill>
            </a:rPr>
            <a:t>  </a:t>
          </a:r>
        </a:p>
      </xdr:txBody>
    </xdr:sp>
    <xdr:clientData/>
  </xdr:twoCellAnchor>
  <xdr:twoCellAnchor>
    <xdr:from>
      <xdr:col>0</xdr:col>
      <xdr:colOff>88900</xdr:colOff>
      <xdr:row>10</xdr:row>
      <xdr:rowOff>0</xdr:rowOff>
    </xdr:from>
    <xdr:to>
      <xdr:col>14</xdr:col>
      <xdr:colOff>139700</xdr:colOff>
      <xdr:row>24</xdr:row>
      <xdr:rowOff>152400</xdr:rowOff>
    </xdr:to>
    <xdr:graphicFrame macro="">
      <xdr:nvGraphicFramePr>
        <xdr:cNvPr id="18" name="Chart 17">
          <a:extLst>
            <a:ext uri="{FF2B5EF4-FFF2-40B4-BE49-F238E27FC236}">
              <a16:creationId xmlns:a16="http://schemas.microsoft.com/office/drawing/2014/main" id="{E49227F9-2152-024D-AE94-DD785CB6E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279400</xdr:colOff>
      <xdr:row>10</xdr:row>
      <xdr:rowOff>1</xdr:rowOff>
    </xdr:from>
    <xdr:to>
      <xdr:col>22</xdr:col>
      <xdr:colOff>32858</xdr:colOff>
      <xdr:row>24</xdr:row>
      <xdr:rowOff>152400</xdr:rowOff>
    </xdr:to>
    <xdr:graphicFrame macro="">
      <xdr:nvGraphicFramePr>
        <xdr:cNvPr id="19" name="Chart 18">
          <a:extLst>
            <a:ext uri="{FF2B5EF4-FFF2-40B4-BE49-F238E27FC236}">
              <a16:creationId xmlns:a16="http://schemas.microsoft.com/office/drawing/2014/main" id="{F9C0AAE0-F9C0-C945-A1F0-D16977CE5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25</xdr:row>
      <xdr:rowOff>76200</xdr:rowOff>
    </xdr:from>
    <xdr:to>
      <xdr:col>12</xdr:col>
      <xdr:colOff>304800</xdr:colOff>
      <xdr:row>42</xdr:row>
      <xdr:rowOff>76200</xdr:rowOff>
    </xdr:to>
    <xdr:graphicFrame macro="">
      <xdr:nvGraphicFramePr>
        <xdr:cNvPr id="20" name="Chart 19">
          <a:extLst>
            <a:ext uri="{FF2B5EF4-FFF2-40B4-BE49-F238E27FC236}">
              <a16:creationId xmlns:a16="http://schemas.microsoft.com/office/drawing/2014/main" id="{229F32B4-6764-5B4D-961C-39991F4D5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457200</xdr:colOff>
      <xdr:row>25</xdr:row>
      <xdr:rowOff>83027</xdr:rowOff>
    </xdr:from>
    <xdr:to>
      <xdr:col>22</xdr:col>
      <xdr:colOff>59388</xdr:colOff>
      <xdr:row>42</xdr:row>
      <xdr:rowOff>69373</xdr:rowOff>
    </xdr:to>
    <xdr:graphicFrame macro="">
      <xdr:nvGraphicFramePr>
        <xdr:cNvPr id="21" name="Chart 20">
          <a:extLst>
            <a:ext uri="{FF2B5EF4-FFF2-40B4-BE49-F238E27FC236}">
              <a16:creationId xmlns:a16="http://schemas.microsoft.com/office/drawing/2014/main" id="{A8382B66-DC32-5747-9256-1D13C831B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450271</xdr:colOff>
      <xdr:row>3</xdr:row>
      <xdr:rowOff>120650</xdr:rowOff>
    </xdr:from>
    <xdr:to>
      <xdr:col>16</xdr:col>
      <xdr:colOff>183571</xdr:colOff>
      <xdr:row>5</xdr:row>
      <xdr:rowOff>120650</xdr:rowOff>
    </xdr:to>
    <xdr:sp macro="" textlink="">
      <xdr:nvSpPr>
        <xdr:cNvPr id="28" name="TextBox 27">
          <a:extLst>
            <a:ext uri="{FF2B5EF4-FFF2-40B4-BE49-F238E27FC236}">
              <a16:creationId xmlns:a16="http://schemas.microsoft.com/office/drawing/2014/main" id="{38FAE70D-05D3-EB43-AAA2-FB795A390EFB}"/>
            </a:ext>
          </a:extLst>
        </xdr:cNvPr>
        <xdr:cNvSpPr txBox="1"/>
      </xdr:nvSpPr>
      <xdr:spPr>
        <a:xfrm>
          <a:off x="9530771" y="730250"/>
          <a:ext cx="3860800" cy="406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182880" rtlCol="0" anchor="ctr"/>
        <a:lstStyle/>
        <a:p>
          <a:pPr algn="ctr"/>
          <a:r>
            <a:rPr lang="en-GB" sz="1200">
              <a:solidFill>
                <a:srgbClr val="378ADD"/>
              </a:solidFill>
              <a:latin typeface="Segoe UI Historic" panose="020B0502040204020203" pitchFamily="34" charset="0"/>
              <a:ea typeface="Segoe UI Historic" panose="020B0502040204020203" pitchFamily="34" charset="0"/>
              <a:cs typeface="Segoe UI Historic" panose="020B0502040204020203" pitchFamily="34" charset="0"/>
            </a:rPr>
            <a:t>Total</a:t>
          </a:r>
          <a:r>
            <a:rPr lang="en-GB" sz="1100" baseline="0">
              <a:solidFill>
                <a:srgbClr val="378ADD"/>
              </a:solidFill>
              <a:latin typeface="Segoe UI Historic" panose="020B0502040204020203" pitchFamily="34" charset="0"/>
              <a:ea typeface="Segoe UI Historic" panose="020B0502040204020203" pitchFamily="34" charset="0"/>
              <a:cs typeface="Segoe UI Historic" panose="020B0502040204020203" pitchFamily="34" charset="0"/>
            </a:rPr>
            <a:t> Paid Charges</a:t>
          </a:r>
          <a:endParaRPr lang="en-GB" sz="1100">
            <a:solidFill>
              <a:srgbClr val="378ADD"/>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17</xdr:col>
      <xdr:colOff>102330</xdr:colOff>
      <xdr:row>3</xdr:row>
      <xdr:rowOff>120650</xdr:rowOff>
    </xdr:from>
    <xdr:to>
      <xdr:col>21</xdr:col>
      <xdr:colOff>661130</xdr:colOff>
      <xdr:row>5</xdr:row>
      <xdr:rowOff>120650</xdr:rowOff>
    </xdr:to>
    <xdr:sp macro="" textlink="">
      <xdr:nvSpPr>
        <xdr:cNvPr id="29" name="TextBox 28">
          <a:extLst>
            <a:ext uri="{FF2B5EF4-FFF2-40B4-BE49-F238E27FC236}">
              <a16:creationId xmlns:a16="http://schemas.microsoft.com/office/drawing/2014/main" id="{61CC9047-E260-374E-9BB6-716689D1047C}"/>
            </a:ext>
          </a:extLst>
        </xdr:cNvPr>
        <xdr:cNvSpPr txBox="1"/>
      </xdr:nvSpPr>
      <xdr:spPr>
        <a:xfrm>
          <a:off x="14135830" y="730250"/>
          <a:ext cx="3860800" cy="406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182880" rtlCol="0" anchor="ctr"/>
        <a:lstStyle/>
        <a:p>
          <a:pPr algn="ctr"/>
          <a:r>
            <a:rPr lang="en-GB" sz="1200">
              <a:solidFill>
                <a:srgbClr val="378ADD"/>
              </a:solidFill>
            </a:rPr>
            <a:t>Total</a:t>
          </a:r>
          <a:r>
            <a:rPr lang="en-GB" sz="1100" baseline="0">
              <a:solidFill>
                <a:srgbClr val="378ADD"/>
              </a:solidFill>
            </a:rPr>
            <a:t>  Overdue Charges</a:t>
          </a:r>
          <a:endParaRPr lang="en-GB" sz="1100">
            <a:solidFill>
              <a:srgbClr val="378ADD"/>
            </a:solidFill>
          </a:endParaRPr>
        </a:p>
      </xdr:txBody>
    </xdr:sp>
    <xdr:clientData/>
  </xdr:twoCellAnchor>
  <xdr:twoCellAnchor>
    <xdr:from>
      <xdr:col>6</xdr:col>
      <xdr:colOff>709011</xdr:colOff>
      <xdr:row>5</xdr:row>
      <xdr:rowOff>96202</xdr:rowOff>
    </xdr:from>
    <xdr:to>
      <xdr:col>9</xdr:col>
      <xdr:colOff>620111</xdr:colOff>
      <xdr:row>7</xdr:row>
      <xdr:rowOff>58102</xdr:rowOff>
    </xdr:to>
    <xdr:sp macro="" textlink="Ship_details!N11">
      <xdr:nvSpPr>
        <xdr:cNvPr id="31" name="TextBox 30">
          <a:extLst>
            <a:ext uri="{FF2B5EF4-FFF2-40B4-BE49-F238E27FC236}">
              <a16:creationId xmlns:a16="http://schemas.microsoft.com/office/drawing/2014/main" id="{FC6EB964-2505-2848-AE09-B628A249DBA9}"/>
            </a:ext>
          </a:extLst>
        </xdr:cNvPr>
        <xdr:cNvSpPr txBox="1"/>
      </xdr:nvSpPr>
      <xdr:spPr>
        <a:xfrm>
          <a:off x="5662011" y="1112202"/>
          <a:ext cx="2387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C4985FB-AF7A-6641-BC6E-04BA1A78A838}" type="TxLink">
            <a:rPr lang="en-US" sz="2000" b="1" i="0" u="none" strike="noStrike">
              <a:solidFill>
                <a:srgbClr val="000000"/>
              </a:solidFill>
              <a:latin typeface="Segoe UI Historic" panose="020B0502040204020203" pitchFamily="34" charset="0"/>
              <a:ea typeface="Segoe UI Historic" panose="020B0502040204020203" pitchFamily="34" charset="0"/>
              <a:cs typeface="Segoe UI Historic" panose="020B0502040204020203" pitchFamily="34" charset="0"/>
            </a:rPr>
            <a:pPr marL="0" indent="0" algn="ctr"/>
            <a:t>26.69 L</a:t>
          </a:fld>
          <a:endParaRPr lang="en-US" sz="2000" b="1" i="0" u="none" strike="noStrike">
            <a:solidFill>
              <a:srgbClr val="000000"/>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12</xdr:col>
      <xdr:colOff>361371</xdr:colOff>
      <xdr:row>5</xdr:row>
      <xdr:rowOff>96202</xdr:rowOff>
    </xdr:from>
    <xdr:to>
      <xdr:col>15</xdr:col>
      <xdr:colOff>272471</xdr:colOff>
      <xdr:row>7</xdr:row>
      <xdr:rowOff>58102</xdr:rowOff>
    </xdr:to>
    <xdr:sp macro="" textlink="Ship_details!N12">
      <xdr:nvSpPr>
        <xdr:cNvPr id="32" name="TextBox 31">
          <a:extLst>
            <a:ext uri="{FF2B5EF4-FFF2-40B4-BE49-F238E27FC236}">
              <a16:creationId xmlns:a16="http://schemas.microsoft.com/office/drawing/2014/main" id="{76071435-34F4-6E44-840A-52164B3FDA13}"/>
            </a:ext>
          </a:extLst>
        </xdr:cNvPr>
        <xdr:cNvSpPr txBox="1"/>
      </xdr:nvSpPr>
      <xdr:spPr>
        <a:xfrm>
          <a:off x="10267371" y="1112202"/>
          <a:ext cx="2387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163BE99-7C82-7D47-A932-F732F0FA13DE}" type="TxLink">
            <a:rPr lang="en-US" sz="2000" b="1" i="0" u="none" strike="noStrike">
              <a:solidFill>
                <a:srgbClr val="000000"/>
              </a:solidFill>
              <a:latin typeface="Segoe UI Historic" panose="020B0502040204020203" pitchFamily="34" charset="0"/>
              <a:ea typeface="Segoe UI Historic" panose="020B0502040204020203" pitchFamily="34" charset="0"/>
              <a:cs typeface="Segoe UI Historic" panose="020B0502040204020203" pitchFamily="34" charset="0"/>
            </a:rPr>
            <a:pPr marL="0" indent="0" algn="ctr"/>
            <a:t>50.22 L</a:t>
          </a:fld>
          <a:endParaRPr lang="en-GB" sz="2000" b="1" i="0" u="none" strike="noStrike">
            <a:solidFill>
              <a:srgbClr val="000000"/>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18</xdr:col>
      <xdr:colOff>13430</xdr:colOff>
      <xdr:row>5</xdr:row>
      <xdr:rowOff>96202</xdr:rowOff>
    </xdr:from>
    <xdr:to>
      <xdr:col>20</xdr:col>
      <xdr:colOff>750030</xdr:colOff>
      <xdr:row>7</xdr:row>
      <xdr:rowOff>58102</xdr:rowOff>
    </xdr:to>
    <xdr:sp macro="" textlink="Ship_details!_xlnm.Extract">
      <xdr:nvSpPr>
        <xdr:cNvPr id="33" name="TextBox 32">
          <a:extLst>
            <a:ext uri="{FF2B5EF4-FFF2-40B4-BE49-F238E27FC236}">
              <a16:creationId xmlns:a16="http://schemas.microsoft.com/office/drawing/2014/main" id="{1CE72DBE-C348-4747-9174-EF124A359A12}"/>
            </a:ext>
          </a:extLst>
        </xdr:cNvPr>
        <xdr:cNvSpPr txBox="1"/>
      </xdr:nvSpPr>
      <xdr:spPr>
        <a:xfrm>
          <a:off x="14872430" y="1112202"/>
          <a:ext cx="2387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697AC5-84E3-D144-8BD3-DCB6FDB2F076}" type="TxLink">
            <a:rPr lang="en-US" sz="2000" b="1" i="0" u="none" strike="noStrike">
              <a:solidFill>
                <a:srgbClr val="000000"/>
              </a:solidFill>
              <a:latin typeface="Segoe UI Historic" panose="020B0502040204020203" pitchFamily="34" charset="0"/>
              <a:ea typeface="Segoe UI Historic" panose="020B0502040204020203" pitchFamily="34" charset="0"/>
              <a:cs typeface="Segoe UI Historic" panose="020B0502040204020203" pitchFamily="34" charset="0"/>
            </a:rPr>
            <a:pPr marL="0" indent="0" algn="ctr"/>
            <a:t>11.38 L</a:t>
          </a:fld>
          <a:endParaRPr lang="en-GB" sz="2000" b="1" i="0" u="none" strike="noStrike">
            <a:solidFill>
              <a:srgbClr val="000000"/>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1</xdr:col>
      <xdr:colOff>599272</xdr:colOff>
      <xdr:row>7</xdr:row>
      <xdr:rowOff>40518</xdr:rowOff>
    </xdr:from>
    <xdr:to>
      <xdr:col>3</xdr:col>
      <xdr:colOff>599272</xdr:colOff>
      <xdr:row>9</xdr:row>
      <xdr:rowOff>34585</xdr:rowOff>
    </xdr:to>
    <xdr:sp macro="" textlink="'kpi1'!H9">
      <xdr:nvSpPr>
        <xdr:cNvPr id="35" name="TextBox 34">
          <a:extLst>
            <a:ext uri="{FF2B5EF4-FFF2-40B4-BE49-F238E27FC236}">
              <a16:creationId xmlns:a16="http://schemas.microsoft.com/office/drawing/2014/main" id="{6E58AF61-9243-3507-93A3-5DCB85E06A2D}"/>
            </a:ext>
          </a:extLst>
        </xdr:cNvPr>
        <xdr:cNvSpPr txBox="1">
          <a:spLocks noChangeAspect="1"/>
        </xdr:cNvSpPr>
      </xdr:nvSpPr>
      <xdr:spPr>
        <a:xfrm>
          <a:off x="1424772" y="1462918"/>
          <a:ext cx="1651000" cy="4004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3D44B1-136C-8D44-A74C-7EEED2FFF4C1}" type="TxLink">
            <a:rPr lang="en-US" sz="1400" b="0" i="0" u="none" strike="noStrike">
              <a:solidFill>
                <a:srgbClr val="FF0000"/>
              </a:solidFill>
              <a:latin typeface="Calibri"/>
              <a:ea typeface="+mn-ea"/>
              <a:cs typeface="Calibri"/>
            </a:rPr>
            <a:pPr marL="0" indent="0" algn="ctr"/>
            <a:t>-58.69%</a:t>
          </a:fld>
          <a:endParaRPr lang="en-GB" sz="1400" b="0" i="0" u="none" strike="noStrike">
            <a:solidFill>
              <a:srgbClr val="FF0000"/>
            </a:solidFill>
            <a:latin typeface="Calibri"/>
            <a:ea typeface="+mn-ea"/>
            <a:cs typeface="Calibri"/>
          </a:endParaRPr>
        </a:p>
      </xdr:txBody>
    </xdr:sp>
    <xdr:clientData/>
  </xdr:twoCellAnchor>
  <xdr:twoCellAnchor>
    <xdr:from>
      <xdr:col>1</xdr:col>
      <xdr:colOff>231480</xdr:colOff>
      <xdr:row>5</xdr:row>
      <xdr:rowOff>97472</xdr:rowOff>
    </xdr:from>
    <xdr:to>
      <xdr:col>4</xdr:col>
      <xdr:colOff>141564</xdr:colOff>
      <xdr:row>7</xdr:row>
      <xdr:rowOff>56832</xdr:rowOff>
    </xdr:to>
    <xdr:sp macro="" textlink="Ship_details!N10">
      <xdr:nvSpPr>
        <xdr:cNvPr id="2" name="TextBox 1">
          <a:extLst>
            <a:ext uri="{FF2B5EF4-FFF2-40B4-BE49-F238E27FC236}">
              <a16:creationId xmlns:a16="http://schemas.microsoft.com/office/drawing/2014/main" id="{409379E8-69AF-F115-A752-EBE5BC749133}"/>
            </a:ext>
          </a:extLst>
        </xdr:cNvPr>
        <xdr:cNvSpPr txBox="1"/>
      </xdr:nvSpPr>
      <xdr:spPr>
        <a:xfrm>
          <a:off x="1056980" y="1113472"/>
          <a:ext cx="2386584"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4A34AD-03E8-1744-838E-FEA4F9F07009}" type="TxLink">
            <a:rPr lang="en-US" sz="2000" b="1" i="0" u="none" strike="noStrike">
              <a:solidFill>
                <a:srgbClr val="000000"/>
              </a:solidFill>
              <a:latin typeface="Segoe UI Historic" panose="020B0502040204020203" pitchFamily="34" charset="0"/>
              <a:ea typeface="Segoe UI Historic" panose="020B0502040204020203" pitchFamily="34" charset="0"/>
              <a:cs typeface="Segoe UI Historic" panose="020B0502040204020203" pitchFamily="34" charset="0"/>
            </a:rPr>
            <a:pPr algn="ctr"/>
            <a:t>97.80 L</a:t>
          </a:fld>
          <a:endParaRPr lang="en-GB" sz="2000" b="1">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7</xdr:col>
      <xdr:colOff>158645</xdr:colOff>
      <xdr:row>7</xdr:row>
      <xdr:rowOff>39583</xdr:rowOff>
    </xdr:from>
    <xdr:to>
      <xdr:col>9</xdr:col>
      <xdr:colOff>344978</xdr:colOff>
      <xdr:row>9</xdr:row>
      <xdr:rowOff>35519</xdr:rowOff>
    </xdr:to>
    <xdr:sp macro="" textlink="'kpi 2'!G11">
      <xdr:nvSpPr>
        <xdr:cNvPr id="3" name="TextBox 2">
          <a:extLst>
            <a:ext uri="{FF2B5EF4-FFF2-40B4-BE49-F238E27FC236}">
              <a16:creationId xmlns:a16="http://schemas.microsoft.com/office/drawing/2014/main" id="{075BCDA1-B690-F14E-84D3-C3BCE156AAFB}"/>
            </a:ext>
          </a:extLst>
        </xdr:cNvPr>
        <xdr:cNvSpPr txBox="1">
          <a:spLocks noChangeAspect="1"/>
        </xdr:cNvSpPr>
      </xdr:nvSpPr>
      <xdr:spPr>
        <a:xfrm>
          <a:off x="5937145" y="1461983"/>
          <a:ext cx="1837333" cy="4023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12BEDB1-0F6E-5641-B0B9-B6FF043ECC31}" type="TxLink">
            <a:rPr lang="en-US" sz="1400" b="0" i="0" u="none" strike="noStrike">
              <a:solidFill>
                <a:srgbClr val="92D050"/>
              </a:solidFill>
              <a:latin typeface="Calibri"/>
              <a:ea typeface="+mn-ea"/>
              <a:cs typeface="Calibri"/>
            </a:rPr>
            <a:pPr marL="0" indent="0" algn="ctr"/>
            <a:t>591.28%</a:t>
          </a:fld>
          <a:endParaRPr lang="en-US" sz="1400" b="0" i="0" u="none" strike="noStrike">
            <a:solidFill>
              <a:srgbClr val="92D050"/>
            </a:solidFill>
            <a:latin typeface="Calibri"/>
            <a:ea typeface="+mn-ea"/>
            <a:cs typeface="Calibri"/>
          </a:endParaRPr>
        </a:p>
      </xdr:txBody>
    </xdr:sp>
    <xdr:clientData/>
  </xdr:twoCellAnchor>
  <xdr:twoCellAnchor>
    <xdr:from>
      <xdr:col>7</xdr:col>
      <xdr:colOff>571500</xdr:colOff>
      <xdr:row>7</xdr:row>
      <xdr:rowOff>177251</xdr:rowOff>
    </xdr:from>
    <xdr:to>
      <xdr:col>7</xdr:col>
      <xdr:colOff>698500</xdr:colOff>
      <xdr:row>8</xdr:row>
      <xdr:rowOff>101051</xdr:rowOff>
    </xdr:to>
    <xdr:sp macro="" textlink="">
      <xdr:nvSpPr>
        <xdr:cNvPr id="5" name="Merge 4">
          <a:extLst>
            <a:ext uri="{FF2B5EF4-FFF2-40B4-BE49-F238E27FC236}">
              <a16:creationId xmlns:a16="http://schemas.microsoft.com/office/drawing/2014/main" id="{349BA080-F3BD-E844-8E0C-62B1D1D04A40}"/>
            </a:ext>
          </a:extLst>
        </xdr:cNvPr>
        <xdr:cNvSpPr>
          <a:spLocks noChangeAspect="1"/>
        </xdr:cNvSpPr>
      </xdr:nvSpPr>
      <xdr:spPr>
        <a:xfrm>
          <a:off x="6350000" y="1599651"/>
          <a:ext cx="127000" cy="127000"/>
        </a:xfrm>
        <a:prstGeom prst="flowChartMerge">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727639</xdr:colOff>
      <xdr:row>7</xdr:row>
      <xdr:rowOff>59540</xdr:rowOff>
    </xdr:from>
    <xdr:to>
      <xdr:col>14</xdr:col>
      <xdr:colOff>731703</xdr:colOff>
      <xdr:row>9</xdr:row>
      <xdr:rowOff>15563</xdr:rowOff>
    </xdr:to>
    <xdr:sp macro="" textlink="'kpi 3'!G11">
      <xdr:nvSpPr>
        <xdr:cNvPr id="6" name="TextBox 5">
          <a:extLst>
            <a:ext uri="{FF2B5EF4-FFF2-40B4-BE49-F238E27FC236}">
              <a16:creationId xmlns:a16="http://schemas.microsoft.com/office/drawing/2014/main" id="{D012EA5E-1604-1148-BD2D-3CA8A6F98985}"/>
            </a:ext>
          </a:extLst>
        </xdr:cNvPr>
        <xdr:cNvSpPr txBox="1">
          <a:spLocks noChangeAspect="1"/>
        </xdr:cNvSpPr>
      </xdr:nvSpPr>
      <xdr:spPr>
        <a:xfrm>
          <a:off x="10633639" y="1481940"/>
          <a:ext cx="1655064" cy="3624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3DE14D-15F2-5447-87C8-9F31BAD13309}" type="TxLink">
            <a:rPr lang="en-US" sz="1400" b="0" i="0" u="none" strike="noStrike">
              <a:solidFill>
                <a:srgbClr val="FF0000"/>
              </a:solidFill>
              <a:latin typeface="Calibri"/>
              <a:ea typeface="+mn-ea"/>
              <a:cs typeface="Calibri"/>
            </a:rPr>
            <a:pPr marL="0" indent="0" algn="ctr"/>
            <a:t>-53.57%</a:t>
          </a:fld>
          <a:endParaRPr lang="en-US" sz="1400" b="0" i="0" u="none" strike="noStrike">
            <a:solidFill>
              <a:srgbClr val="FF0000"/>
            </a:solidFill>
            <a:latin typeface="Calibri"/>
            <a:ea typeface="+mn-ea"/>
            <a:cs typeface="Calibri"/>
          </a:endParaRPr>
        </a:p>
      </xdr:txBody>
    </xdr:sp>
    <xdr:clientData/>
  </xdr:twoCellAnchor>
  <xdr:twoCellAnchor>
    <xdr:from>
      <xdr:col>13</xdr:col>
      <xdr:colOff>182047</xdr:colOff>
      <xdr:row>7</xdr:row>
      <xdr:rowOff>177251</xdr:rowOff>
    </xdr:from>
    <xdr:to>
      <xdr:col>13</xdr:col>
      <xdr:colOff>309047</xdr:colOff>
      <xdr:row>8</xdr:row>
      <xdr:rowOff>101051</xdr:rowOff>
    </xdr:to>
    <xdr:sp macro="" textlink="">
      <xdr:nvSpPr>
        <xdr:cNvPr id="7" name="Merge 6">
          <a:extLst>
            <a:ext uri="{FF2B5EF4-FFF2-40B4-BE49-F238E27FC236}">
              <a16:creationId xmlns:a16="http://schemas.microsoft.com/office/drawing/2014/main" id="{9D03A7BE-8373-484D-94A8-DCD33C62AD3B}"/>
            </a:ext>
          </a:extLst>
        </xdr:cNvPr>
        <xdr:cNvSpPr>
          <a:spLocks noChangeAspect="1"/>
        </xdr:cNvSpPr>
      </xdr:nvSpPr>
      <xdr:spPr>
        <a:xfrm>
          <a:off x="10913547" y="1599651"/>
          <a:ext cx="127000" cy="127000"/>
        </a:xfrm>
        <a:prstGeom prst="flowChartMerg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379698</xdr:colOff>
      <xdr:row>7</xdr:row>
      <xdr:rowOff>59540</xdr:rowOff>
    </xdr:from>
    <xdr:to>
      <xdr:col>20</xdr:col>
      <xdr:colOff>383762</xdr:colOff>
      <xdr:row>9</xdr:row>
      <xdr:rowOff>15563</xdr:rowOff>
    </xdr:to>
    <xdr:sp macro="" textlink="'kpi 4'!G11">
      <xdr:nvSpPr>
        <xdr:cNvPr id="8" name="TextBox 7">
          <a:extLst>
            <a:ext uri="{FF2B5EF4-FFF2-40B4-BE49-F238E27FC236}">
              <a16:creationId xmlns:a16="http://schemas.microsoft.com/office/drawing/2014/main" id="{F7C3CEB3-8638-4E49-B6F2-D44DEDC40A4F}"/>
            </a:ext>
          </a:extLst>
        </xdr:cNvPr>
        <xdr:cNvSpPr txBox="1">
          <a:spLocks noChangeAspect="1"/>
        </xdr:cNvSpPr>
      </xdr:nvSpPr>
      <xdr:spPr>
        <a:xfrm>
          <a:off x="15238698" y="1481940"/>
          <a:ext cx="1655064" cy="3624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2BC6B6-18E0-6440-ADFE-8D53072F070D}" type="TxLink">
            <a:rPr lang="en-US" sz="1400" b="0" i="0" u="none" strike="noStrike">
              <a:solidFill>
                <a:srgbClr val="92D050"/>
              </a:solidFill>
              <a:latin typeface="Calibri"/>
              <a:cs typeface="Calibri"/>
            </a:rPr>
            <a:pPr algn="ctr"/>
            <a:t>13735.14%</a:t>
          </a:fld>
          <a:endParaRPr lang="en-US" sz="1400" b="0" i="0" u="none" strike="noStrike">
            <a:solidFill>
              <a:srgbClr val="92D050"/>
            </a:solidFill>
            <a:latin typeface="Calibri"/>
            <a:cs typeface="Calibri"/>
          </a:endParaRPr>
        </a:p>
      </xdr:txBody>
    </xdr:sp>
    <xdr:clientData/>
  </xdr:twoCellAnchor>
  <xdr:twoCellAnchor>
    <xdr:from>
      <xdr:col>18</xdr:col>
      <xdr:colOff>647700</xdr:colOff>
      <xdr:row>7</xdr:row>
      <xdr:rowOff>177251</xdr:rowOff>
    </xdr:from>
    <xdr:to>
      <xdr:col>18</xdr:col>
      <xdr:colOff>774700</xdr:colOff>
      <xdr:row>8</xdr:row>
      <xdr:rowOff>101051</xdr:rowOff>
    </xdr:to>
    <xdr:sp macro="" textlink="">
      <xdr:nvSpPr>
        <xdr:cNvPr id="9" name="Merge 8">
          <a:extLst>
            <a:ext uri="{FF2B5EF4-FFF2-40B4-BE49-F238E27FC236}">
              <a16:creationId xmlns:a16="http://schemas.microsoft.com/office/drawing/2014/main" id="{78B1B4F3-46C5-8E4D-BD39-A8545C1079BB}"/>
            </a:ext>
          </a:extLst>
        </xdr:cNvPr>
        <xdr:cNvSpPr>
          <a:spLocks noChangeAspect="1"/>
        </xdr:cNvSpPr>
      </xdr:nvSpPr>
      <xdr:spPr>
        <a:xfrm>
          <a:off x="15506700" y="1599651"/>
          <a:ext cx="127000" cy="127000"/>
        </a:xfrm>
        <a:prstGeom prst="flowChartMerge">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92D050"/>
            </a:solidFill>
          </a:endParaRPr>
        </a:p>
      </xdr:txBody>
    </xdr:sp>
    <xdr:clientData/>
  </xdr:twoCellAnchor>
  <xdr:twoCellAnchor>
    <xdr:from>
      <xdr:col>2</xdr:col>
      <xdr:colOff>139700</xdr:colOff>
      <xdr:row>7</xdr:row>
      <xdr:rowOff>177251</xdr:rowOff>
    </xdr:from>
    <xdr:to>
      <xdr:col>2</xdr:col>
      <xdr:colOff>266700</xdr:colOff>
      <xdr:row>8</xdr:row>
      <xdr:rowOff>101051</xdr:rowOff>
    </xdr:to>
    <xdr:sp macro="" textlink="">
      <xdr:nvSpPr>
        <xdr:cNvPr id="16" name="Merge 15">
          <a:extLst>
            <a:ext uri="{FF2B5EF4-FFF2-40B4-BE49-F238E27FC236}">
              <a16:creationId xmlns:a16="http://schemas.microsoft.com/office/drawing/2014/main" id="{C0BA4748-D7D6-DF41-B544-5BD714DFBC46}"/>
            </a:ext>
          </a:extLst>
        </xdr:cNvPr>
        <xdr:cNvSpPr>
          <a:spLocks noChangeAspect="1"/>
        </xdr:cNvSpPr>
      </xdr:nvSpPr>
      <xdr:spPr>
        <a:xfrm>
          <a:off x="1790700" y="1599651"/>
          <a:ext cx="127000" cy="127000"/>
        </a:xfrm>
        <a:prstGeom prst="flowChartMerg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GB" sz="1100">
            <a:solidFill>
              <a:srgbClr val="E00002"/>
            </a:solidFill>
          </a:endParaRPr>
        </a:p>
      </xdr:txBody>
    </xdr:sp>
    <xdr:clientData/>
  </xdr:twoCellAnchor>
  <xdr:twoCellAnchor>
    <xdr:from>
      <xdr:col>5</xdr:col>
      <xdr:colOff>797911</xdr:colOff>
      <xdr:row>3</xdr:row>
      <xdr:rowOff>120650</xdr:rowOff>
    </xdr:from>
    <xdr:to>
      <xdr:col>10</xdr:col>
      <xdr:colOff>531211</xdr:colOff>
      <xdr:row>5</xdr:row>
      <xdr:rowOff>120650</xdr:rowOff>
    </xdr:to>
    <xdr:sp macro="" textlink="">
      <xdr:nvSpPr>
        <xdr:cNvPr id="4" name="TextBox 3">
          <a:extLst>
            <a:ext uri="{FF2B5EF4-FFF2-40B4-BE49-F238E27FC236}">
              <a16:creationId xmlns:a16="http://schemas.microsoft.com/office/drawing/2014/main" id="{FA35CB7A-A1F7-B446-88B9-7E6D1F40CDA7}"/>
            </a:ext>
          </a:extLst>
        </xdr:cNvPr>
        <xdr:cNvSpPr txBox="1"/>
      </xdr:nvSpPr>
      <xdr:spPr>
        <a:xfrm>
          <a:off x="4925411" y="730250"/>
          <a:ext cx="3860800" cy="406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182880" rtlCol="0" anchor="ctr"/>
        <a:lstStyle/>
        <a:p>
          <a:pPr algn="ctr"/>
          <a:r>
            <a:rPr lang="en-GB" sz="1200">
              <a:solidFill>
                <a:srgbClr val="378ADD"/>
              </a:solidFill>
              <a:latin typeface="Segoe UI Historic" panose="020B0502040204020203" pitchFamily="34" charset="0"/>
              <a:ea typeface="Segoe UI Historic" panose="020B0502040204020203" pitchFamily="34" charset="0"/>
              <a:cs typeface="Segoe UI Historic" panose="020B0502040204020203" pitchFamily="34" charset="0"/>
            </a:rPr>
            <a:t>Total</a:t>
          </a:r>
          <a:r>
            <a:rPr lang="en-GB" sz="1100" baseline="0">
              <a:solidFill>
                <a:srgbClr val="378ADD"/>
              </a:solidFill>
              <a:latin typeface="Segoe UI Historic" panose="020B0502040204020203" pitchFamily="34" charset="0"/>
              <a:ea typeface="Segoe UI Historic" panose="020B0502040204020203" pitchFamily="34" charset="0"/>
              <a:cs typeface="Segoe UI Historic" panose="020B0502040204020203" pitchFamily="34" charset="0"/>
            </a:rPr>
            <a:t> Pending Charges</a:t>
          </a:r>
          <a:endParaRPr lang="en-GB" sz="1100">
            <a:solidFill>
              <a:srgbClr val="378ADD"/>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0</xdr:col>
      <xdr:colOff>319872</xdr:colOff>
      <xdr:row>3</xdr:row>
      <xdr:rowOff>120650</xdr:rowOff>
    </xdr:from>
    <xdr:to>
      <xdr:col>5</xdr:col>
      <xdr:colOff>53172</xdr:colOff>
      <xdr:row>5</xdr:row>
      <xdr:rowOff>120650</xdr:rowOff>
    </xdr:to>
    <xdr:sp macro="" textlink="">
      <xdr:nvSpPr>
        <xdr:cNvPr id="11" name="TextBox 10">
          <a:extLst>
            <a:ext uri="{FF2B5EF4-FFF2-40B4-BE49-F238E27FC236}">
              <a16:creationId xmlns:a16="http://schemas.microsoft.com/office/drawing/2014/main" id="{608CB25E-A771-8E4D-BC21-CEAC064E747F}"/>
            </a:ext>
          </a:extLst>
        </xdr:cNvPr>
        <xdr:cNvSpPr txBox="1"/>
      </xdr:nvSpPr>
      <xdr:spPr>
        <a:xfrm>
          <a:off x="319872" y="730250"/>
          <a:ext cx="3860800" cy="406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182880" rtlCol="0" anchor="ctr"/>
        <a:lstStyle/>
        <a:p>
          <a:pPr algn="ctr"/>
          <a:r>
            <a:rPr lang="en-GB" sz="1200">
              <a:solidFill>
                <a:srgbClr val="378ADD"/>
              </a:solidFill>
              <a:latin typeface="Segoe UI Historic" panose="020B0502040204020203" pitchFamily="34" charset="0"/>
              <a:ea typeface="Segoe UI Historic" panose="020B0502040204020203" pitchFamily="34" charset="0"/>
              <a:cs typeface="Segoe UI Historic" panose="020B0502040204020203" pitchFamily="34" charset="0"/>
            </a:rPr>
            <a:t>Total</a:t>
          </a:r>
          <a:r>
            <a:rPr lang="en-GB" sz="1100" baseline="0">
              <a:solidFill>
                <a:srgbClr val="378ADD"/>
              </a:solidFill>
              <a:latin typeface="Segoe UI Historic" panose="020B0502040204020203" pitchFamily="34" charset="0"/>
              <a:ea typeface="Segoe UI Historic" panose="020B0502040204020203" pitchFamily="34" charset="0"/>
              <a:cs typeface="Segoe UI Historic" panose="020B0502040204020203" pitchFamily="34" charset="0"/>
            </a:rPr>
            <a:t> Charges</a:t>
          </a:r>
          <a:endParaRPr lang="en-GB" sz="1100">
            <a:solidFill>
              <a:srgbClr val="378ADD"/>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0</xdr:col>
      <xdr:colOff>88900</xdr:colOff>
      <xdr:row>0</xdr:row>
      <xdr:rowOff>114300</xdr:rowOff>
    </xdr:from>
    <xdr:to>
      <xdr:col>11</xdr:col>
      <xdr:colOff>292100</xdr:colOff>
      <xdr:row>2</xdr:row>
      <xdr:rowOff>139700</xdr:rowOff>
    </xdr:to>
    <xdr:sp macro="" textlink="">
      <xdr:nvSpPr>
        <xdr:cNvPr id="15" name="TextBox 14">
          <a:extLst>
            <a:ext uri="{FF2B5EF4-FFF2-40B4-BE49-F238E27FC236}">
              <a16:creationId xmlns:a16="http://schemas.microsoft.com/office/drawing/2014/main" id="{EDC5F80D-4C47-21AF-4CDD-C8D4495B63E4}"/>
            </a:ext>
          </a:extLst>
        </xdr:cNvPr>
        <xdr:cNvSpPr txBox="1"/>
      </xdr:nvSpPr>
      <xdr:spPr>
        <a:xfrm>
          <a:off x="88900" y="114300"/>
          <a:ext cx="9283700" cy="4318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lvl="1" algn="l"/>
          <a:r>
            <a:rPr lang="en-IN" sz="2000" b="1">
              <a:solidFill>
                <a:srgbClr val="4372C5"/>
              </a:solidFill>
              <a:latin typeface="Segoe UI Historic" panose="020B0502040204020203" pitchFamily="34" charset="0"/>
              <a:ea typeface="Segoe UI Historic" panose="020B0502040204020203" pitchFamily="34" charset="0"/>
              <a:cs typeface="Segoe UI Historic" panose="020B0502040204020203" pitchFamily="34" charset="0"/>
            </a:rPr>
            <a:t>PORT OPERATIONS DASHBOARD</a:t>
          </a:r>
          <a:endParaRPr lang="en-GB" sz="2000" b="1">
            <a:solidFill>
              <a:srgbClr val="4372C5"/>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editAs="oneCell">
    <xdr:from>
      <xdr:col>11</xdr:col>
      <xdr:colOff>393700</xdr:colOff>
      <xdr:row>0</xdr:row>
      <xdr:rowOff>101600</xdr:rowOff>
    </xdr:from>
    <xdr:to>
      <xdr:col>22</xdr:col>
      <xdr:colOff>25400</xdr:colOff>
      <xdr:row>2</xdr:row>
      <xdr:rowOff>139700</xdr:rowOff>
    </xdr:to>
    <mc:AlternateContent xmlns:mc="http://schemas.openxmlformats.org/markup-compatibility/2006">
      <mc:Choice xmlns:a14="http://schemas.microsoft.com/office/drawing/2010/main" Requires="a14">
        <xdr:graphicFrame macro="">
          <xdr:nvGraphicFramePr>
            <xdr:cNvPr id="17" name="Cargo_type 1">
              <a:extLst>
                <a:ext uri="{FF2B5EF4-FFF2-40B4-BE49-F238E27FC236}">
                  <a16:creationId xmlns:a16="http://schemas.microsoft.com/office/drawing/2014/main" id="{345AC06B-3485-244E-A973-2E78ED7BFAAF}"/>
                </a:ext>
              </a:extLst>
            </xdr:cNvPr>
            <xdr:cNvGraphicFramePr/>
          </xdr:nvGraphicFramePr>
          <xdr:xfrm>
            <a:off x="0" y="0"/>
            <a:ext cx="0" cy="0"/>
          </xdr:xfrm>
          <a:graphic>
            <a:graphicData uri="http://schemas.microsoft.com/office/drawing/2010/slicer">
              <sle:slicer xmlns:sle="http://schemas.microsoft.com/office/drawing/2010/slicer" name="Cargo_type 1"/>
            </a:graphicData>
          </a:graphic>
        </xdr:graphicFrame>
      </mc:Choice>
      <mc:Fallback>
        <xdr:sp macro="" textlink="">
          <xdr:nvSpPr>
            <xdr:cNvPr id="0" name=""/>
            <xdr:cNvSpPr>
              <a:spLocks noTextEdit="1"/>
            </xdr:cNvSpPr>
          </xdr:nvSpPr>
          <xdr:spPr>
            <a:xfrm>
              <a:off x="9474200" y="101600"/>
              <a:ext cx="8712200" cy="444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393700</xdr:colOff>
      <xdr:row>9</xdr:row>
      <xdr:rowOff>88900</xdr:rowOff>
    </xdr:from>
    <xdr:to>
      <xdr:col>10</xdr:col>
      <xdr:colOff>12700</xdr:colOff>
      <xdr:row>22</xdr:row>
      <xdr:rowOff>190500</xdr:rowOff>
    </xdr:to>
    <xdr:graphicFrame macro="">
      <xdr:nvGraphicFramePr>
        <xdr:cNvPr id="3" name="Chart 2">
          <a:extLst>
            <a:ext uri="{FF2B5EF4-FFF2-40B4-BE49-F238E27FC236}">
              <a16:creationId xmlns:a16="http://schemas.microsoft.com/office/drawing/2014/main" id="{31FCB2F4-5752-BE10-29C8-43F3C6504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c" refreshedDate="46167.879190162035" createdVersion="8" refreshedVersion="8" minRefreshableVersion="3" recordCount="500" xr:uid="{6BE42130-C263-B245-86B6-8F8051313BE6}">
  <cacheSource type="worksheet">
    <worksheetSource ref="A1:K501" sheet="Ship_details"/>
  </cacheSource>
  <cacheFields count="13">
    <cacheField name="Sr_No" numFmtId="0">
      <sharedItems containsSemiMixedTypes="0" containsString="0" containsNumber="1" containsInteger="1" minValue="1" maxValue="500"/>
    </cacheField>
    <cacheField name="Arrival_Date" numFmtId="14">
      <sharedItems containsSemiMixedTypes="0" containsNonDate="0" containsDate="1" containsString="0" minDate="2025-01-01T00:00:00" maxDate="2027-09-24T00:00:00" count="500">
        <d v="2025-01-01T00:00:00"/>
        <d v="2025-01-03T00:00:00"/>
        <d v="2025-01-06T00:00:00"/>
        <d v="2025-01-07T00:00:00"/>
        <d v="2025-01-09T00:00:00"/>
        <d v="2025-01-11T00:00:00"/>
        <d v="2025-01-14T00:00:00"/>
        <d v="2025-01-15T00:00:00"/>
        <d v="2025-01-17T00:00:00"/>
        <d v="2025-01-19T00:00:00"/>
        <d v="2025-01-21T00:00:00"/>
        <d v="2025-01-23T00:00:00"/>
        <d v="2025-01-25T00:00:00"/>
        <d v="2025-01-27T00:00:00"/>
        <d v="2025-01-29T00:00:00"/>
        <d v="2025-01-31T00:00:00"/>
        <d v="2025-02-02T00:00:00"/>
        <d v="2025-02-04T00:00:00"/>
        <d v="2025-02-06T00:00:00"/>
        <d v="2025-02-09T00:00:00"/>
        <d v="2025-02-11T00:00:00"/>
        <d v="2025-02-13T00:00:00"/>
        <d v="2025-02-15T00:00:00"/>
        <d v="2025-02-17T00:00:00"/>
        <d v="2025-02-19T00:00:00"/>
        <d v="2025-02-21T00:00:00"/>
        <d v="2025-02-24T00:00:00"/>
        <d v="2025-02-26T00:00:00"/>
        <d v="2025-03-01T00:00:00"/>
        <d v="2025-03-03T00:00:00"/>
        <d v="2025-03-05T00:00:00"/>
        <d v="2025-03-07T00:00:00"/>
        <d v="2025-03-08T00:00:00"/>
        <d v="2025-03-10T00:00:00"/>
        <d v="2025-03-12T00:00:00"/>
        <d v="2025-03-13T00:00:00"/>
        <d v="2025-03-16T00:00:00"/>
        <d v="2025-03-18T00:00:00"/>
        <d v="2025-03-20T00:00:00"/>
        <d v="2025-03-22T00:00:00"/>
        <d v="2025-03-23T00:00:00"/>
        <d v="2025-03-25T00:00:00"/>
        <d v="2025-03-27T00:00:00"/>
        <d v="2025-03-29T00:00:00"/>
        <d v="2025-03-31T00:00:00"/>
        <d v="2025-04-01T00:00:00"/>
        <d v="2025-04-02T00:00:00"/>
        <d v="2025-04-04T00:00:00"/>
        <d v="2025-04-05T00:00:00"/>
        <d v="2025-04-08T00:00:00"/>
        <d v="2025-04-10T00:00:00"/>
        <d v="2025-04-11T00:00:00"/>
        <d v="2025-04-12T00:00:00"/>
        <d v="2025-04-15T00:00:00"/>
        <d v="2025-04-16T00:00:00"/>
        <d v="2025-04-17T00:00:00"/>
        <d v="2025-04-19T00:00:00"/>
        <d v="2025-04-21T00:00:00"/>
        <d v="2025-04-24T00:00:00"/>
        <d v="2025-04-26T00:00:00"/>
        <d v="2025-04-27T00:00:00"/>
        <d v="2025-04-29T00:00:00"/>
        <d v="2025-05-01T00:00:00"/>
        <d v="2025-05-03T00:00:00"/>
        <d v="2025-05-05T00:00:00"/>
        <d v="2025-05-08T00:00:00"/>
        <d v="2025-05-10T00:00:00"/>
        <d v="2025-05-11T00:00:00"/>
        <d v="2025-05-12T00:00:00"/>
        <d v="2025-05-14T00:00:00"/>
        <d v="2025-05-16T00:00:00"/>
        <d v="2025-05-18T00:00:00"/>
        <d v="2025-05-20T00:00:00"/>
        <d v="2025-05-22T00:00:00"/>
        <d v="2025-05-24T00:00:00"/>
        <d v="2025-05-26T00:00:00"/>
        <d v="2025-05-29T00:00:00"/>
        <d v="2025-05-31T00:00:00"/>
        <d v="2025-06-02T00:00:00"/>
        <d v="2025-06-03T00:00:00"/>
        <d v="2025-06-05T00:00:00"/>
        <d v="2025-06-07T00:00:00"/>
        <d v="2025-06-09T00:00:00"/>
        <d v="2025-06-12T00:00:00"/>
        <d v="2025-06-15T00:00:00"/>
        <d v="2025-06-16T00:00:00"/>
        <d v="2025-06-18T00:00:00"/>
        <d v="2025-06-20T00:00:00"/>
        <d v="2025-06-21T00:00:00"/>
        <d v="2025-06-24T00:00:00"/>
        <d v="2025-06-26T00:00:00"/>
        <d v="2025-06-28T00:00:00"/>
        <d v="2025-06-30T00:00:00"/>
        <d v="2025-07-01T00:00:00"/>
        <d v="2025-07-03T00:00:00"/>
        <d v="2025-07-05T00:00:00"/>
        <d v="2025-07-08T00:00:00"/>
        <d v="2025-07-10T00:00:00"/>
        <d v="2025-07-12T00:00:00"/>
        <d v="2025-07-15T00:00:00"/>
        <d v="2025-07-18T00:00:00"/>
        <d v="2025-07-20T00:00:00"/>
        <d v="2025-07-23T00:00:00"/>
        <d v="2025-07-25T00:00:00"/>
        <d v="2025-07-27T00:00:00"/>
        <d v="2025-07-29T00:00:00"/>
        <d v="2025-07-31T00:00:00"/>
        <d v="2025-08-02T00:00:00"/>
        <d v="2025-08-05T00:00:00"/>
        <d v="2025-08-06T00:00:00"/>
        <d v="2025-08-08T00:00:00"/>
        <d v="2025-08-10T00:00:00"/>
        <d v="2025-08-12T00:00:00"/>
        <d v="2025-08-14T00:00:00"/>
        <d v="2025-08-16T00:00:00"/>
        <d v="2025-08-18T00:00:00"/>
        <d v="2025-08-20T00:00:00"/>
        <d v="2025-08-21T00:00:00"/>
        <d v="2025-08-23T00:00:00"/>
        <d v="2025-08-26T00:00:00"/>
        <d v="2025-08-28T00:00:00"/>
        <d v="2025-08-29T00:00:00"/>
        <d v="2025-08-30T00:00:00"/>
        <d v="2025-09-01T00:00:00"/>
        <d v="2025-09-03T00:00:00"/>
        <d v="2025-09-05T00:00:00"/>
        <d v="2025-09-07T00:00:00"/>
        <d v="2025-09-10T00:00:00"/>
        <d v="2025-09-13T00:00:00"/>
        <d v="2025-09-16T00:00:00"/>
        <d v="2025-09-18T00:00:00"/>
        <d v="2025-09-20T00:00:00"/>
        <d v="2025-09-23T00:00:00"/>
        <d v="2025-09-25T00:00:00"/>
        <d v="2025-09-28T00:00:00"/>
        <d v="2025-09-29T00:00:00"/>
        <d v="2025-10-01T00:00:00"/>
        <d v="2025-10-03T00:00:00"/>
        <d v="2025-10-05T00:00:00"/>
        <d v="2025-10-07T00:00:00"/>
        <d v="2025-10-09T00:00:00"/>
        <d v="2025-10-11T00:00:00"/>
        <d v="2025-10-14T00:00:00"/>
        <d v="2025-10-16T00:00:00"/>
        <d v="2025-10-18T00:00:00"/>
        <d v="2025-10-20T00:00:00"/>
        <d v="2025-10-23T00:00:00"/>
        <d v="2025-10-24T00:00:00"/>
        <d v="2025-10-26T00:00:00"/>
        <d v="2025-10-28T00:00:00"/>
        <d v="2025-10-30T00:00:00"/>
        <d v="2025-11-01T00:00:00"/>
        <d v="2025-11-03T00:00:00"/>
        <d v="2025-11-05T00:00:00"/>
        <d v="2025-11-08T00:00:00"/>
        <d v="2025-11-11T00:00:00"/>
        <d v="2025-11-13T00:00:00"/>
        <d v="2025-11-14T00:00:00"/>
        <d v="2025-11-16T00:00:00"/>
        <d v="2025-11-18T00:00:00"/>
        <d v="2025-11-19T00:00:00"/>
        <d v="2025-11-20T00:00:00"/>
        <d v="2025-11-22T00:00:00"/>
        <d v="2025-11-24T00:00:00"/>
        <d v="2025-11-26T00:00:00"/>
        <d v="2025-11-27T00:00:00"/>
        <d v="2025-11-29T00:00:00"/>
        <d v="2025-12-02T00:00:00"/>
        <d v="2025-12-04T00:00:00"/>
        <d v="2025-12-06T00:00:00"/>
        <d v="2025-12-07T00:00:00"/>
        <d v="2025-12-09T00:00:00"/>
        <d v="2025-12-12T00:00:00"/>
        <d v="2025-12-14T00:00:00"/>
        <d v="2025-12-16T00:00:00"/>
        <d v="2025-12-18T00:00:00"/>
        <d v="2025-12-21T00:00:00"/>
        <d v="2025-12-22T00:00:00"/>
        <d v="2025-12-23T00:00:00"/>
        <d v="2025-12-24T00:00:00"/>
        <d v="2025-12-26T00:00:00"/>
        <d v="2025-12-27T00:00:00"/>
        <d v="2025-12-29T00:00:00"/>
        <d v="2025-12-31T00:00:00"/>
        <d v="2026-01-01T00:00:00"/>
        <d v="2026-01-02T00:00:00"/>
        <d v="2026-01-04T00:00:00"/>
        <d v="2026-01-06T00:00:00"/>
        <d v="2026-01-08T00:00:00"/>
        <d v="2026-01-10T00:00:00"/>
        <d v="2026-01-13T00:00:00"/>
        <d v="2026-01-15T00:00:00"/>
        <d v="2026-01-16T00:00:00"/>
        <d v="2026-01-18T00:00:00"/>
        <d v="2026-01-20T00:00:00"/>
        <d v="2026-01-21T00:00:00"/>
        <d v="2026-01-24T00:00:00"/>
        <d v="2026-01-26T00:00:00"/>
        <d v="2026-01-28T00:00:00"/>
        <d v="2026-01-30T00:00:00"/>
        <d v="2026-02-01T00:00:00"/>
        <d v="2026-02-04T00:00:00"/>
        <d v="2026-02-06T00:00:00"/>
        <d v="2026-02-08T00:00:00"/>
        <d v="2026-02-10T00:00:00"/>
        <d v="2026-02-11T00:00:00"/>
        <d v="2026-02-14T00:00:00"/>
        <d v="2026-02-15T00:00:00"/>
        <d v="2026-02-17T00:00:00"/>
        <d v="2026-02-20T00:00:00"/>
        <d v="2026-02-22T00:00:00"/>
        <d v="2026-02-25T00:00:00"/>
        <d v="2026-02-28T00:00:00"/>
        <d v="2026-03-03T00:00:00"/>
        <d v="2026-03-05T00:00:00"/>
        <d v="2026-03-07T00:00:00"/>
        <d v="2026-03-09T00:00:00"/>
        <d v="2026-03-12T00:00:00"/>
        <d v="2026-03-14T00:00:00"/>
        <d v="2026-03-16T00:00:00"/>
        <d v="2026-03-18T00:00:00"/>
        <d v="2026-03-20T00:00:00"/>
        <d v="2026-03-21T00:00:00"/>
        <d v="2026-03-22T00:00:00"/>
        <d v="2026-03-24T00:00:00"/>
        <d v="2026-03-27T00:00:00"/>
        <d v="2026-03-28T00:00:00"/>
        <d v="2026-03-30T00:00:00"/>
        <d v="2026-04-02T00:00:00"/>
        <d v="2026-04-05T00:00:00"/>
        <d v="2026-04-07T00:00:00"/>
        <d v="2026-04-08T00:00:00"/>
        <d v="2026-04-09T00:00:00"/>
        <d v="2026-04-11T00:00:00"/>
        <d v="2026-04-14T00:00:00"/>
        <d v="2026-04-16T00:00:00"/>
        <d v="2026-04-18T00:00:00"/>
        <d v="2026-04-20T00:00:00"/>
        <d v="2026-04-22T00:00:00"/>
        <d v="2026-04-23T00:00:00"/>
        <d v="2026-04-25T00:00:00"/>
        <d v="2026-04-27T00:00:00"/>
        <d v="2026-04-29T00:00:00"/>
        <d v="2026-05-01T00:00:00"/>
        <d v="2026-05-03T00:00:00"/>
        <d v="2026-05-04T00:00:00"/>
        <d v="2026-05-06T00:00:00"/>
        <d v="2026-05-08T00:00:00"/>
        <d v="2026-05-10T00:00:00"/>
        <d v="2026-05-12T00:00:00"/>
        <d v="2026-05-14T00:00:00"/>
        <d v="2026-05-16T00:00:00"/>
        <d v="2026-05-18T00:00:00"/>
        <d v="2026-05-20T00:00:00"/>
        <d v="2026-05-22T00:00:00"/>
        <d v="2026-05-23T00:00:00"/>
        <d v="2026-05-24T00:00:00"/>
        <d v="2026-05-25T00:00:00"/>
        <d v="2026-05-27T00:00:00"/>
        <d v="2026-05-29T00:00:00"/>
        <d v="2026-06-01T00:00:00"/>
        <d v="2026-06-03T00:00:00"/>
        <d v="2026-06-05T00:00:00"/>
        <d v="2026-06-07T00:00:00"/>
        <d v="2026-06-09T00:00:00"/>
        <d v="2026-06-10T00:00:00"/>
        <d v="2026-06-12T00:00:00"/>
        <d v="2026-06-13T00:00:00"/>
        <d v="2026-06-15T00:00:00"/>
        <d v="2026-06-16T00:00:00"/>
        <d v="2026-06-18T00:00:00"/>
        <d v="2026-06-20T00:00:00"/>
        <d v="2026-06-22T00:00:00"/>
        <d v="2026-06-25T00:00:00"/>
        <d v="2026-06-27T00:00:00"/>
        <d v="2026-06-28T00:00:00"/>
        <d v="2026-07-01T00:00:00"/>
        <d v="2026-07-03T00:00:00"/>
        <d v="2026-07-05T00:00:00"/>
        <d v="2026-07-07T00:00:00"/>
        <d v="2026-07-10T00:00:00"/>
        <d v="2026-07-12T00:00:00"/>
        <d v="2026-07-15T00:00:00"/>
        <d v="2026-07-17T00:00:00"/>
        <d v="2026-07-20T00:00:00"/>
        <d v="2026-07-22T00:00:00"/>
        <d v="2026-07-24T00:00:00"/>
        <d v="2026-07-25T00:00:00"/>
        <d v="2026-07-27T00:00:00"/>
        <d v="2026-07-30T00:00:00"/>
        <d v="2026-07-31T00:00:00"/>
        <d v="2026-08-03T00:00:00"/>
        <d v="2026-08-05T00:00:00"/>
        <d v="2026-08-07T00:00:00"/>
        <d v="2026-08-09T00:00:00"/>
        <d v="2026-08-10T00:00:00"/>
        <d v="2026-08-12T00:00:00"/>
        <d v="2026-08-14T00:00:00"/>
        <d v="2026-08-16T00:00:00"/>
        <d v="2026-08-18T00:00:00"/>
        <d v="2026-08-20T00:00:00"/>
        <d v="2026-08-22T00:00:00"/>
        <d v="2026-08-24T00:00:00"/>
        <d v="2026-08-26T00:00:00"/>
        <d v="2026-08-28T00:00:00"/>
        <d v="2026-08-30T00:00:00"/>
        <d v="2026-08-31T00:00:00"/>
        <d v="2026-09-02T00:00:00"/>
        <d v="2026-09-03T00:00:00"/>
        <d v="2026-09-05T00:00:00"/>
        <d v="2026-09-08T00:00:00"/>
        <d v="2026-09-09T00:00:00"/>
        <d v="2026-09-11T00:00:00"/>
        <d v="2026-09-13T00:00:00"/>
        <d v="2026-09-14T00:00:00"/>
        <d v="2026-09-17T00:00:00"/>
        <d v="2026-09-20T00:00:00"/>
        <d v="2026-09-23T00:00:00"/>
        <d v="2026-09-25T00:00:00"/>
        <d v="2026-09-26T00:00:00"/>
        <d v="2026-09-28T00:00:00"/>
        <d v="2026-10-01T00:00:00"/>
        <d v="2026-10-03T00:00:00"/>
        <d v="2026-10-05T00:00:00"/>
        <d v="2026-10-08T00:00:00"/>
        <d v="2026-10-11T00:00:00"/>
        <d v="2026-10-12T00:00:00"/>
        <d v="2026-10-13T00:00:00"/>
        <d v="2026-10-15T00:00:00"/>
        <d v="2026-10-17T00:00:00"/>
        <d v="2026-10-19T00:00:00"/>
        <d v="2026-10-22T00:00:00"/>
        <d v="2026-10-25T00:00:00"/>
        <d v="2026-10-27T00:00:00"/>
        <d v="2026-10-29T00:00:00"/>
        <d v="2026-10-31T00:00:00"/>
        <d v="2026-11-03T00:00:00"/>
        <d v="2026-11-04T00:00:00"/>
        <d v="2026-11-06T00:00:00"/>
        <d v="2026-11-07T00:00:00"/>
        <d v="2026-11-09T00:00:00"/>
        <d v="2026-11-11T00:00:00"/>
        <d v="2026-11-14T00:00:00"/>
        <d v="2026-11-17T00:00:00"/>
        <d v="2026-11-20T00:00:00"/>
        <d v="2026-11-22T00:00:00"/>
        <d v="2026-11-25T00:00:00"/>
        <d v="2026-11-28T00:00:00"/>
        <d v="2026-11-29T00:00:00"/>
        <d v="2026-12-01T00:00:00"/>
        <d v="2026-12-03T00:00:00"/>
        <d v="2026-12-05T00:00:00"/>
        <d v="2026-12-07T00:00:00"/>
        <d v="2026-12-08T00:00:00"/>
        <d v="2026-12-10T00:00:00"/>
        <d v="2026-12-12T00:00:00"/>
        <d v="2026-12-14T00:00:00"/>
        <d v="2026-12-16T00:00:00"/>
        <d v="2026-12-18T00:00:00"/>
        <d v="2026-12-19T00:00:00"/>
        <d v="2026-12-21T00:00:00"/>
        <d v="2026-12-22T00:00:00"/>
        <d v="2026-12-23T00:00:00"/>
        <d v="2026-12-25T00:00:00"/>
        <d v="2026-12-27T00:00:00"/>
        <d v="2026-12-29T00:00:00"/>
        <d v="2026-12-30T00:00:00"/>
        <d v="2027-01-02T00:00:00"/>
        <d v="2027-01-04T00:00:00"/>
        <d v="2027-01-07T00:00:00"/>
        <d v="2027-01-08T00:00:00"/>
        <d v="2027-01-10T00:00:00"/>
        <d v="2027-01-13T00:00:00"/>
        <d v="2027-01-15T00:00:00"/>
        <d v="2027-01-17T00:00:00"/>
        <d v="2027-01-19T00:00:00"/>
        <d v="2027-01-21T00:00:00"/>
        <d v="2027-01-23T00:00:00"/>
        <d v="2027-01-25T00:00:00"/>
        <d v="2027-01-27T00:00:00"/>
        <d v="2027-01-29T00:00:00"/>
        <d v="2027-01-30T00:00:00"/>
        <d v="2027-02-01T00:00:00"/>
        <d v="2027-02-03T00:00:00"/>
        <d v="2027-02-04T00:00:00"/>
        <d v="2027-02-07T00:00:00"/>
        <d v="2027-02-09T00:00:00"/>
        <d v="2027-02-11T00:00:00"/>
        <d v="2027-02-13T00:00:00"/>
        <d v="2027-02-15T00:00:00"/>
        <d v="2027-02-18T00:00:00"/>
        <d v="2027-02-19T00:00:00"/>
        <d v="2027-02-21T00:00:00"/>
        <d v="2027-02-24T00:00:00"/>
        <d v="2027-02-26T00:00:00"/>
        <d v="2027-02-28T00:00:00"/>
        <d v="2027-03-02T00:00:00"/>
        <d v="2027-03-04T00:00:00"/>
        <d v="2027-03-07T00:00:00"/>
        <d v="2027-03-08T00:00:00"/>
        <d v="2027-03-10T00:00:00"/>
        <d v="2027-03-12T00:00:00"/>
        <d v="2027-03-13T00:00:00"/>
        <d v="2027-03-16T00:00:00"/>
        <d v="2027-03-18T00:00:00"/>
        <d v="2027-03-21T00:00:00"/>
        <d v="2027-03-22T00:00:00"/>
        <d v="2027-03-24T00:00:00"/>
        <d v="2027-03-27T00:00:00"/>
        <d v="2027-03-29T00:00:00"/>
        <d v="2027-03-31T00:00:00"/>
        <d v="2027-04-02T00:00:00"/>
        <d v="2027-04-05T00:00:00"/>
        <d v="2027-04-08T00:00:00"/>
        <d v="2027-04-11T00:00:00"/>
        <d v="2027-04-14T00:00:00"/>
        <d v="2027-04-16T00:00:00"/>
        <d v="2027-04-19T00:00:00"/>
        <d v="2027-04-20T00:00:00"/>
        <d v="2027-04-22T00:00:00"/>
        <d v="2027-04-24T00:00:00"/>
        <d v="2027-04-25T00:00:00"/>
        <d v="2027-04-27T00:00:00"/>
        <d v="2027-04-29T00:00:00"/>
        <d v="2027-05-02T00:00:00"/>
        <d v="2027-05-03T00:00:00"/>
        <d v="2027-05-05T00:00:00"/>
        <d v="2027-05-07T00:00:00"/>
        <d v="2027-05-08T00:00:00"/>
        <d v="2027-05-10T00:00:00"/>
        <d v="2027-05-11T00:00:00"/>
        <d v="2027-05-12T00:00:00"/>
        <d v="2027-05-14T00:00:00"/>
        <d v="2027-05-16T00:00:00"/>
        <d v="2027-05-18T00:00:00"/>
        <d v="2027-05-19T00:00:00"/>
        <d v="2027-05-22T00:00:00"/>
        <d v="2027-05-24T00:00:00"/>
        <d v="2027-05-25T00:00:00"/>
        <d v="2027-05-27T00:00:00"/>
        <d v="2027-05-30T00:00:00"/>
        <d v="2027-06-01T00:00:00"/>
        <d v="2027-06-03T00:00:00"/>
        <d v="2027-06-06T00:00:00"/>
        <d v="2027-06-08T00:00:00"/>
        <d v="2027-06-10T00:00:00"/>
        <d v="2027-06-12T00:00:00"/>
        <d v="2027-06-13T00:00:00"/>
        <d v="2027-06-15T00:00:00"/>
        <d v="2027-06-17T00:00:00"/>
        <d v="2027-06-20T00:00:00"/>
        <d v="2027-06-22T00:00:00"/>
        <d v="2027-06-23T00:00:00"/>
        <d v="2027-06-25T00:00:00"/>
        <d v="2027-06-26T00:00:00"/>
        <d v="2027-06-28T00:00:00"/>
        <d v="2027-07-01T00:00:00"/>
        <d v="2027-07-02T00:00:00"/>
        <d v="2027-07-04T00:00:00"/>
        <d v="2027-07-06T00:00:00"/>
        <d v="2027-07-08T00:00:00"/>
        <d v="2027-07-11T00:00:00"/>
        <d v="2027-07-13T00:00:00"/>
        <d v="2027-07-14T00:00:00"/>
        <d v="2027-07-16T00:00:00"/>
        <d v="2027-07-19T00:00:00"/>
        <d v="2027-07-21T00:00:00"/>
        <d v="2027-07-23T00:00:00"/>
        <d v="2027-07-26T00:00:00"/>
        <d v="2027-07-28T00:00:00"/>
        <d v="2027-07-30T00:00:00"/>
        <d v="2027-08-01T00:00:00"/>
        <d v="2027-08-03T00:00:00"/>
        <d v="2027-08-05T00:00:00"/>
        <d v="2027-08-07T00:00:00"/>
        <d v="2027-08-09T00:00:00"/>
        <d v="2027-08-10T00:00:00"/>
        <d v="2027-08-13T00:00:00"/>
        <d v="2027-08-14T00:00:00"/>
        <d v="2027-08-16T00:00:00"/>
        <d v="2027-08-19T00:00:00"/>
        <d v="2027-08-21T00:00:00"/>
        <d v="2027-08-23T00:00:00"/>
        <d v="2027-08-25T00:00:00"/>
        <d v="2027-08-26T00:00:00"/>
        <d v="2027-08-28T00:00:00"/>
        <d v="2027-08-30T00:00:00"/>
        <d v="2027-09-01T00:00:00"/>
        <d v="2027-09-02T00:00:00"/>
        <d v="2027-09-04T00:00:00"/>
        <d v="2027-09-05T00:00:00"/>
        <d v="2027-09-07T00:00:00"/>
        <d v="2027-09-09T00:00:00"/>
        <d v="2027-09-11T00:00:00"/>
        <d v="2027-09-12T00:00:00"/>
        <d v="2027-09-14T00:00:00"/>
        <d v="2027-09-16T00:00:00"/>
        <d v="2027-09-18T00:00:00"/>
        <d v="2027-09-21T00:00:00"/>
        <d v="2027-09-23T00:00:00"/>
      </sharedItems>
      <fieldGroup par="12" base="1">
        <rangePr groupBy="months" startDate="2025-01-01T00:00:00" endDate="2027-09-24T00:00:00"/>
        <groupItems count="14">
          <s v="&lt;01/01/25"/>
          <s v="Jan"/>
          <s v="Feb"/>
          <s v="Mar"/>
          <s v="Apr"/>
          <s v="May"/>
          <s v="Jun"/>
          <s v="Jul"/>
          <s v="Aug"/>
          <s v="Sep"/>
          <s v="Oct"/>
          <s v="Nov"/>
          <s v="Dec"/>
          <s v="&gt;24/09/27"/>
        </groupItems>
      </fieldGroup>
    </cacheField>
    <cacheField name="Vessel_Name" numFmtId="0">
      <sharedItems count="22">
        <s v="MV Sea Eeagle"/>
        <s v="MV Black Diamond"/>
        <s v="MV Ocial King"/>
        <s v="MV Coal Master"/>
        <s v="MT Crude Power"/>
        <s v="MV Fertilizer King"/>
        <s v="MSC Gujarat"/>
        <s v="MT Sea Dragon"/>
        <s v="MT Ocean Tanker"/>
        <s v="MV Bulk Carrier One"/>
        <s v="MV Iron Master"/>
        <s v="CMA CGM Victory"/>
        <s v="MSC Mundra"/>
        <s v="MV Green Harvest"/>
        <s v="CMA CGM Atlas"/>
        <s v="MV Sea Eagle"/>
        <s v="MT Desert Storm"/>
        <s v="MV Ocean King"/>
        <s v="MV Pacific Star"/>
        <s v="MT Gulf Star"/>
        <s v="MT Arabian Prince"/>
        <s v="MSC India Star"/>
      </sharedItems>
    </cacheField>
    <cacheField name="Cargo_type" numFmtId="0">
      <sharedItems count="6">
        <s v="Coal"/>
        <s v="Crude Oil"/>
        <s v="Fertilizer"/>
        <s v="Container"/>
        <s v="LPG"/>
        <s v="Iron Ore"/>
      </sharedItems>
    </cacheField>
    <cacheField name="Origin_Country" numFmtId="0">
      <sharedItems/>
    </cacheField>
    <cacheField name="Cargo_Weight_MT" numFmtId="0">
      <sharedItems/>
    </cacheField>
    <cacheField name="Berth_No" numFmtId="0">
      <sharedItems/>
    </cacheField>
    <cacheField name="Operator_Name" numFmtId="0">
      <sharedItems count="3">
        <s v="Adani Ports and SEZ Ltd"/>
        <s v="JM Baxi Group"/>
        <s v="Mundra Shipping Services"/>
      </sharedItems>
    </cacheField>
    <cacheField name="Department" numFmtId="0">
      <sharedItems count="5">
        <s v="Security"/>
        <s v="Operations"/>
        <s v="Finance"/>
        <s v="Logistics"/>
        <s v="Customs"/>
      </sharedItems>
    </cacheField>
    <cacheField name="Charges_INR" numFmtId="164">
      <sharedItems containsSemiMixedTypes="0" containsString="0" containsNumber="1" containsInteger="1" minValue="5000" maxValue="796500"/>
    </cacheField>
    <cacheField name="Payment_Status" numFmtId="0">
      <sharedItems count="4">
        <s v="Pending"/>
        <s v="Partially Paid"/>
        <s v="Paid"/>
        <s v="Overdue"/>
      </sharedItems>
    </cacheField>
    <cacheField name="Quarters" numFmtId="0" databaseField="0">
      <fieldGroup base="1">
        <rangePr groupBy="quarters" startDate="2025-01-01T00:00:00" endDate="2027-09-24T00:00:00"/>
        <groupItems count="6">
          <s v="&lt;01/01/25"/>
          <s v="Qtr1"/>
          <s v="Qtr2"/>
          <s v="Qtr3"/>
          <s v="Qtr4"/>
          <s v="&gt;24/09/27"/>
        </groupItems>
      </fieldGroup>
    </cacheField>
    <cacheField name="Years" numFmtId="0" databaseField="0">
      <fieldGroup base="1">
        <rangePr groupBy="years" startDate="2025-01-01T00:00:00" endDate="2027-09-24T00:00:00"/>
        <groupItems count="5">
          <s v="&lt;01/01/25"/>
          <s v="2025"/>
          <s v="2026"/>
          <s v="2027"/>
          <s v="&gt;24/09/27"/>
        </groupItems>
      </fieldGroup>
    </cacheField>
  </cacheFields>
  <extLst>
    <ext xmlns:x14="http://schemas.microsoft.com/office/spreadsheetml/2009/9/main" uri="{725AE2AE-9491-48be-B2B4-4EB974FC3084}">
      <x14:pivotCacheDefinition pivotCacheId="3316305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s v="Australia,"/>
    <s v="31840 MT"/>
    <s v="B2"/>
    <x v="0"/>
    <x v="0"/>
    <n v="23000"/>
    <x v="0"/>
  </r>
  <r>
    <n v="2"/>
    <x v="1"/>
    <x v="1"/>
    <x v="0"/>
    <s v="Saudi Arabia"/>
    <s v="74200 MT"/>
    <s v="B6"/>
    <x v="0"/>
    <x v="1"/>
    <n v="780000"/>
    <x v="1"/>
  </r>
  <r>
    <n v="3"/>
    <x v="2"/>
    <x v="2"/>
    <x v="0"/>
    <s v="Russia"/>
    <s v="28450 MT"/>
    <s v="B4"/>
    <x v="1"/>
    <x v="2"/>
    <n v="47500"/>
    <x v="2"/>
  </r>
  <r>
    <n v="4"/>
    <x v="3"/>
    <x v="3"/>
    <x v="0"/>
    <s v="Australia"/>
    <s v="68120 MT"/>
    <s v="B8"/>
    <x v="0"/>
    <x v="3"/>
    <n v="510500"/>
    <x v="0"/>
  </r>
  <r>
    <n v="5"/>
    <x v="4"/>
    <x v="4"/>
    <x v="1"/>
    <s v="Iraq"/>
    <s v="109500 MT"/>
    <s v="B10"/>
    <x v="1"/>
    <x v="3"/>
    <n v="18500"/>
    <x v="3"/>
  </r>
  <r>
    <n v="6"/>
    <x v="5"/>
    <x v="5"/>
    <x v="2"/>
    <s v="Russia"/>
    <s v="45680 MT"/>
    <s v="B3"/>
    <x v="2"/>
    <x v="3"/>
    <n v="477500"/>
    <x v="2"/>
  </r>
  <r>
    <n v="7"/>
    <x v="6"/>
    <x v="5"/>
    <x v="2"/>
    <s v="Morocco"/>
    <s v="47210 MT"/>
    <s v="B5"/>
    <x v="1"/>
    <x v="2"/>
    <n v="43500"/>
    <x v="0"/>
  </r>
  <r>
    <n v="8"/>
    <x v="7"/>
    <x v="4"/>
    <x v="1"/>
    <s v="Iran"/>
    <s v="118300 MT"/>
    <s v="B7"/>
    <x v="0"/>
    <x v="4"/>
    <n v="122500"/>
    <x v="2"/>
  </r>
  <r>
    <n v="9"/>
    <x v="8"/>
    <x v="6"/>
    <x v="3"/>
    <s v="Iran"/>
    <s v="24650 MT"/>
    <s v="B1"/>
    <x v="1"/>
    <x v="3"/>
    <n v="760500"/>
    <x v="2"/>
  </r>
  <r>
    <n v="10"/>
    <x v="9"/>
    <x v="7"/>
    <x v="4"/>
    <s v="Qatar"/>
    <s v="33780 MT"/>
    <s v="B9"/>
    <x v="0"/>
    <x v="3"/>
    <n v="136000"/>
    <x v="2"/>
  </r>
  <r>
    <n v="11"/>
    <x v="10"/>
    <x v="8"/>
    <x v="1"/>
    <s v="Iraq"/>
    <s v="95700 MT"/>
    <s v="B11"/>
    <x v="1"/>
    <x v="4"/>
    <n v="30000"/>
    <x v="2"/>
  </r>
  <r>
    <n v="12"/>
    <x v="11"/>
    <x v="9"/>
    <x v="5"/>
    <s v="Brazil"/>
    <s v="52240 MT"/>
    <s v="B4"/>
    <x v="0"/>
    <x v="4"/>
    <n v="93000"/>
    <x v="0"/>
  </r>
  <r>
    <n v="13"/>
    <x v="12"/>
    <x v="9"/>
    <x v="1"/>
    <s v="Saudi Arabia"/>
    <s v="114200 MT"/>
    <s v="B6"/>
    <x v="2"/>
    <x v="4"/>
    <n v="299500"/>
    <x v="0"/>
  </r>
  <r>
    <n v="14"/>
    <x v="13"/>
    <x v="10"/>
    <x v="5"/>
    <s v="South Africa"/>
    <s v="63580 MT"/>
    <s v="B2"/>
    <x v="1"/>
    <x v="4"/>
    <n v="131000"/>
    <x v="2"/>
  </r>
  <r>
    <n v="15"/>
    <x v="14"/>
    <x v="11"/>
    <x v="3"/>
    <s v="Germany"/>
    <s v="28950 MT"/>
    <s v="B8"/>
    <x v="1"/>
    <x v="1"/>
    <n v="69500"/>
    <x v="0"/>
  </r>
  <r>
    <n v="16"/>
    <x v="15"/>
    <x v="10"/>
    <x v="5"/>
    <s v="Australia"/>
    <s v="64840 MT"/>
    <s v="B10"/>
    <x v="2"/>
    <x v="3"/>
    <n v="70000"/>
    <x v="2"/>
  </r>
  <r>
    <n v="17"/>
    <x v="16"/>
    <x v="12"/>
    <x v="3"/>
    <s v="Singapore"/>
    <s v="32980 MT"/>
    <s v="B5"/>
    <x v="0"/>
    <x v="0"/>
    <n v="15000"/>
    <x v="2"/>
  </r>
  <r>
    <n v="18"/>
    <x v="17"/>
    <x v="12"/>
    <x v="3"/>
    <s v="Japan"/>
    <s v="27110 MT"/>
    <s v="B7"/>
    <x v="1"/>
    <x v="1"/>
    <n v="668500"/>
    <x v="0"/>
  </r>
  <r>
    <n v="19"/>
    <x v="18"/>
    <x v="1"/>
    <x v="0"/>
    <s v="Russia"/>
    <s v="43650 MT"/>
    <s v="B3"/>
    <x v="2"/>
    <x v="4"/>
    <n v="82500"/>
    <x v="2"/>
  </r>
  <r>
    <n v="20"/>
    <x v="19"/>
    <x v="13"/>
    <x v="2"/>
    <s v="Jordan"/>
    <s v="30540 MT"/>
    <s v="B12"/>
    <x v="2"/>
    <x v="3"/>
    <n v="443500"/>
    <x v="2"/>
  </r>
  <r>
    <n v="21"/>
    <x v="20"/>
    <x v="14"/>
    <x v="3"/>
    <s v="Germany"/>
    <s v="17280 MT"/>
    <s v="B1"/>
    <x v="0"/>
    <x v="2"/>
    <n v="521500"/>
    <x v="2"/>
  </r>
  <r>
    <n v="22"/>
    <x v="21"/>
    <x v="9"/>
    <x v="5"/>
    <s v="Brazil"/>
    <s v="59840 MT"/>
    <s v="B9"/>
    <x v="2"/>
    <x v="2"/>
    <n v="125000"/>
    <x v="1"/>
  </r>
  <r>
    <n v="23"/>
    <x v="22"/>
    <x v="7"/>
    <x v="4"/>
    <s v="Qatar"/>
    <s v="61450 MT"/>
    <s v="B4"/>
    <x v="1"/>
    <x v="1"/>
    <n v="489500"/>
    <x v="2"/>
  </r>
  <r>
    <n v="24"/>
    <x v="23"/>
    <x v="7"/>
    <x v="4"/>
    <s v="UAE"/>
    <s v="30220 MT"/>
    <s v="B6"/>
    <x v="0"/>
    <x v="3"/>
    <n v="475500"/>
    <x v="2"/>
  </r>
  <r>
    <n v="25"/>
    <x v="24"/>
    <x v="13"/>
    <x v="2"/>
    <s v="Jordan"/>
    <s v="36480 MT"/>
    <s v="B2"/>
    <x v="2"/>
    <x v="3"/>
    <n v="471000"/>
    <x v="0"/>
  </r>
  <r>
    <n v="26"/>
    <x v="25"/>
    <x v="15"/>
    <x v="0"/>
    <s v="Indonesia"/>
    <s v="112600 MT"/>
    <s v="B8"/>
    <x v="1"/>
    <x v="1"/>
    <n v="116500"/>
    <x v="1"/>
  </r>
  <r>
    <n v="27"/>
    <x v="26"/>
    <x v="16"/>
    <x v="1"/>
    <s v="Saudi Arabia"/>
    <s v="42190 MT"/>
    <s v="B10"/>
    <x v="1"/>
    <x v="0"/>
    <n v="90500"/>
    <x v="2"/>
  </r>
  <r>
    <n v="28"/>
    <x v="27"/>
    <x v="10"/>
    <x v="5"/>
    <s v="Brazil"/>
    <s v="38650 MT"/>
    <s v="B3"/>
    <x v="0"/>
    <x v="4"/>
    <n v="690500"/>
    <x v="2"/>
  </r>
  <r>
    <n v="29"/>
    <x v="28"/>
    <x v="10"/>
    <x v="5"/>
    <s v="Canada"/>
    <s v="70980 MT"/>
    <s v="B5"/>
    <x v="1"/>
    <x v="0"/>
    <n v="205000"/>
    <x v="2"/>
  </r>
  <r>
    <n v="30"/>
    <x v="29"/>
    <x v="7"/>
    <x v="4"/>
    <s v="UAE"/>
    <s v="48720 MT"/>
    <s v="B7"/>
    <x v="2"/>
    <x v="4"/>
    <n v="17000"/>
    <x v="2"/>
  </r>
  <r>
    <n v="31"/>
    <x v="30"/>
    <x v="9"/>
    <x v="5"/>
    <s v="Canada"/>
    <s v="78150 MT"/>
    <s v="B11"/>
    <x v="0"/>
    <x v="4"/>
    <n v="222500"/>
    <x v="2"/>
  </r>
  <r>
    <n v="32"/>
    <x v="31"/>
    <x v="11"/>
    <x v="3"/>
    <s v="Japan"/>
    <s v="29460 MT"/>
    <s v="B1"/>
    <x v="2"/>
    <x v="3"/>
    <n v="43500"/>
    <x v="0"/>
  </r>
  <r>
    <n v="33"/>
    <x v="32"/>
    <x v="4"/>
    <x v="1"/>
    <s v="Kuwait"/>
    <s v="34080 MT"/>
    <s v="B9"/>
    <x v="0"/>
    <x v="1"/>
    <n v="286000"/>
    <x v="3"/>
  </r>
  <r>
    <n v="34"/>
    <x v="33"/>
    <x v="11"/>
    <x v="3"/>
    <s v="Japan"/>
    <s v="120400 MT"/>
    <s v="B4"/>
    <x v="1"/>
    <x v="1"/>
    <n v="74000"/>
    <x v="1"/>
  </r>
  <r>
    <n v="35"/>
    <x v="34"/>
    <x v="1"/>
    <x v="0"/>
    <s v="Indonesia"/>
    <s v="53860 MT"/>
    <s v="B6"/>
    <x v="2"/>
    <x v="1"/>
    <n v="279500"/>
    <x v="0"/>
  </r>
  <r>
    <n v="36"/>
    <x v="35"/>
    <x v="15"/>
    <x v="0"/>
    <s v="South Africa"/>
    <s v="27540 MT"/>
    <s v="B2"/>
    <x v="0"/>
    <x v="4"/>
    <n v="179000"/>
    <x v="2"/>
  </r>
  <r>
    <n v="37"/>
    <x v="36"/>
    <x v="11"/>
    <x v="3"/>
    <s v="China"/>
    <s v="31890 MT"/>
    <s v="B8"/>
    <x v="0"/>
    <x v="3"/>
    <n v="82500"/>
    <x v="0"/>
  </r>
  <r>
    <n v="38"/>
    <x v="37"/>
    <x v="8"/>
    <x v="1"/>
    <s v="Iraq"/>
    <s v="66520 MT"/>
    <s v="B10"/>
    <x v="2"/>
    <x v="3"/>
    <n v="340000"/>
    <x v="2"/>
  </r>
  <r>
    <n v="39"/>
    <x v="38"/>
    <x v="11"/>
    <x v="3"/>
    <s v="USA"/>
    <s v="44780 MT"/>
    <s v="B12"/>
    <x v="0"/>
    <x v="4"/>
    <n v="433000"/>
    <x v="2"/>
  </r>
  <r>
    <n v="40"/>
    <x v="39"/>
    <x v="9"/>
    <x v="5"/>
    <s v="Canada"/>
    <s v="98750 MT"/>
    <s v="B3"/>
    <x v="0"/>
    <x v="0"/>
    <n v="772000"/>
    <x v="3"/>
  </r>
  <r>
    <n v="41"/>
    <x v="40"/>
    <x v="4"/>
    <x v="1"/>
    <s v="Kuwait"/>
    <s v="28640 MT"/>
    <s v="B5"/>
    <x v="2"/>
    <x v="3"/>
    <n v="6000"/>
    <x v="2"/>
  </r>
  <r>
    <n v="42"/>
    <x v="41"/>
    <x v="17"/>
    <x v="0"/>
    <s v="Australia"/>
    <s v="35120 MT"/>
    <s v="B7"/>
    <x v="0"/>
    <x v="4"/>
    <n v="398000"/>
    <x v="3"/>
  </r>
  <r>
    <n v="43"/>
    <x v="42"/>
    <x v="18"/>
    <x v="2"/>
    <s v="Russia"/>
    <s v="74280 MT"/>
    <s v="B1"/>
    <x v="1"/>
    <x v="3"/>
    <n v="166500"/>
    <x v="1"/>
  </r>
  <r>
    <n v="44"/>
    <x v="43"/>
    <x v="16"/>
    <x v="1"/>
    <s v="Iraq"/>
    <s v="25360 MT"/>
    <s v="B9"/>
    <x v="0"/>
    <x v="3"/>
    <n v="63000"/>
    <x v="1"/>
  </r>
  <r>
    <n v="45"/>
    <x v="44"/>
    <x v="13"/>
    <x v="2"/>
    <s v="Jordan"/>
    <s v="39540 MT"/>
    <s v="B11"/>
    <x v="0"/>
    <x v="1"/>
    <n v="43000"/>
    <x v="2"/>
  </r>
  <r>
    <n v="46"/>
    <x v="45"/>
    <x v="16"/>
    <x v="1"/>
    <s v="UAE"/>
    <s v="110800 MT"/>
    <s v="B4"/>
    <x v="1"/>
    <x v="3"/>
    <n v="129500"/>
    <x v="2"/>
  </r>
  <r>
    <n v="47"/>
    <x v="46"/>
    <x v="19"/>
    <x v="1"/>
    <s v="UAE"/>
    <s v="46820 MT"/>
    <s v="B6"/>
    <x v="1"/>
    <x v="1"/>
    <n v="646500"/>
    <x v="2"/>
  </r>
  <r>
    <n v="48"/>
    <x v="47"/>
    <x v="14"/>
    <x v="3"/>
    <s v="Japan"/>
    <s v="33690 MT"/>
    <s v="B2"/>
    <x v="0"/>
    <x v="3"/>
    <n v="185000"/>
    <x v="2"/>
  </r>
  <r>
    <n v="49"/>
    <x v="48"/>
    <x v="6"/>
    <x v="3"/>
    <s v="Japan"/>
    <s v="29840 MT"/>
    <s v="B8"/>
    <x v="0"/>
    <x v="0"/>
    <n v="48500"/>
    <x v="3"/>
  </r>
  <r>
    <n v="50"/>
    <x v="49"/>
    <x v="8"/>
    <x v="1"/>
    <s v="Kuwait"/>
    <s v="57760 MT"/>
    <s v="B10"/>
    <x v="1"/>
    <x v="0"/>
    <n v="497000"/>
    <x v="2"/>
  </r>
  <r>
    <n v="51"/>
    <x v="50"/>
    <x v="10"/>
    <x v="5"/>
    <s v="South Africa"/>
    <s v="42950 MT"/>
    <s v="B3"/>
    <x v="0"/>
    <x v="3"/>
    <n v="719000"/>
    <x v="2"/>
  </r>
  <r>
    <n v="52"/>
    <x v="51"/>
    <x v="7"/>
    <x v="4"/>
    <s v="Saudi Arabia"/>
    <s v="83500 MT"/>
    <s v="B5"/>
    <x v="2"/>
    <x v="2"/>
    <n v="160000"/>
    <x v="2"/>
  </r>
  <r>
    <n v="53"/>
    <x v="52"/>
    <x v="6"/>
    <x v="3"/>
    <s v="Singapore"/>
    <s v="32340 MT"/>
    <s v="B7"/>
    <x v="0"/>
    <x v="0"/>
    <n v="119000"/>
    <x v="2"/>
  </r>
  <r>
    <n v="54"/>
    <x v="53"/>
    <x v="7"/>
    <x v="4"/>
    <s v="Kuwait"/>
    <s v="40780 MT"/>
    <s v="B12"/>
    <x v="0"/>
    <x v="2"/>
    <n v="14500"/>
    <x v="1"/>
  </r>
  <r>
    <n v="55"/>
    <x v="54"/>
    <x v="9"/>
    <x v="5"/>
    <s v="Brazil"/>
    <s v="104200 MT"/>
    <s v="B1"/>
    <x v="1"/>
    <x v="3"/>
    <n v="782000"/>
    <x v="0"/>
  </r>
  <r>
    <n v="56"/>
    <x v="55"/>
    <x v="1"/>
    <x v="0"/>
    <s v="Russia"/>
    <s v="54980 MT"/>
    <s v="B9"/>
    <x v="2"/>
    <x v="4"/>
    <n v="36500"/>
    <x v="2"/>
  </r>
  <r>
    <n v="57"/>
    <x v="56"/>
    <x v="17"/>
    <x v="0"/>
    <s v="Australia"/>
    <s v="26480 MT"/>
    <s v="B4"/>
    <x v="0"/>
    <x v="4"/>
    <n v="26500"/>
    <x v="2"/>
  </r>
  <r>
    <n v="58"/>
    <x v="57"/>
    <x v="9"/>
    <x v="5"/>
    <s v="Brazil"/>
    <s v="68150 MT"/>
    <s v="B6"/>
    <x v="0"/>
    <x v="1"/>
    <n v="16000"/>
    <x v="2"/>
  </r>
  <r>
    <n v="59"/>
    <x v="58"/>
    <x v="4"/>
    <x v="1"/>
    <s v="Kuwait"/>
    <s v="47280 MT"/>
    <s v="B2"/>
    <x v="2"/>
    <x v="3"/>
    <n v="476000"/>
    <x v="1"/>
  </r>
  <r>
    <n v="60"/>
    <x v="59"/>
    <x v="18"/>
    <x v="2"/>
    <s v="China"/>
    <s v="91200 MT"/>
    <s v="B8"/>
    <x v="0"/>
    <x v="1"/>
    <n v="357500"/>
    <x v="3"/>
  </r>
  <r>
    <n v="61"/>
    <x v="60"/>
    <x v="4"/>
    <x v="1"/>
    <s v="Iraq"/>
    <s v="30150 MT"/>
    <s v="B10"/>
    <x v="2"/>
    <x v="1"/>
    <n v="45000"/>
    <x v="1"/>
  </r>
  <r>
    <n v="62"/>
    <x v="61"/>
    <x v="19"/>
    <x v="1"/>
    <s v="Iraq"/>
    <s v="35980 MT"/>
    <s v="B3"/>
    <x v="2"/>
    <x v="1"/>
    <n v="28500"/>
    <x v="3"/>
  </r>
  <r>
    <n v="63"/>
    <x v="62"/>
    <x v="11"/>
    <x v="3"/>
    <s v="Singapore"/>
    <s v="75320 MT"/>
    <s v="B5"/>
    <x v="1"/>
    <x v="3"/>
    <n v="433000"/>
    <x v="1"/>
  </r>
  <r>
    <n v="64"/>
    <x v="63"/>
    <x v="10"/>
    <x v="5"/>
    <s v="South Africa"/>
    <s v="24870 MT"/>
    <s v="B7"/>
    <x v="2"/>
    <x v="2"/>
    <n v="138000"/>
    <x v="2"/>
  </r>
  <r>
    <n v="65"/>
    <x v="64"/>
    <x v="7"/>
    <x v="4"/>
    <s v="Saudi Arabia"/>
    <s v="38840 MT"/>
    <s v="B11"/>
    <x v="0"/>
    <x v="2"/>
    <n v="30000"/>
    <x v="1"/>
  </r>
  <r>
    <n v="66"/>
    <x v="65"/>
    <x v="3"/>
    <x v="0"/>
    <s v="Australia"/>
    <s v="126500 MT"/>
    <s v="B1"/>
    <x v="0"/>
    <x v="3"/>
    <n v="17000"/>
    <x v="2"/>
  </r>
  <r>
    <n v="67"/>
    <x v="66"/>
    <x v="3"/>
    <x v="0"/>
    <s v="Indonesia"/>
    <s v="46120 MT"/>
    <s v="B9"/>
    <x v="0"/>
    <x v="3"/>
    <n v="144000"/>
    <x v="2"/>
  </r>
  <r>
    <n v="68"/>
    <x v="67"/>
    <x v="16"/>
    <x v="1"/>
    <s v="Kuwait"/>
    <s v="33180 MT"/>
    <s v="B4"/>
    <x v="1"/>
    <x v="1"/>
    <n v="337500"/>
    <x v="3"/>
  </r>
  <r>
    <n v="69"/>
    <x v="68"/>
    <x v="11"/>
    <x v="3"/>
    <s v="Germany"/>
    <s v="29480 MT"/>
    <s v="B6"/>
    <x v="1"/>
    <x v="0"/>
    <n v="47500"/>
    <x v="0"/>
  </r>
  <r>
    <n v="70"/>
    <x v="69"/>
    <x v="14"/>
    <x v="3"/>
    <s v="Japan"/>
    <s v="62460 MT"/>
    <s v="B2"/>
    <x v="2"/>
    <x v="2"/>
    <n v="16500"/>
    <x v="2"/>
  </r>
  <r>
    <n v="71"/>
    <x v="70"/>
    <x v="5"/>
    <x v="2"/>
    <s v="China"/>
    <s v="44890 MT"/>
    <s v="B8"/>
    <x v="2"/>
    <x v="2"/>
    <n v="150000"/>
    <x v="3"/>
  </r>
  <r>
    <n v="72"/>
    <x v="71"/>
    <x v="14"/>
    <x v="3"/>
    <s v="Japan"/>
    <s v="86900 MT"/>
    <s v="B10"/>
    <x v="0"/>
    <x v="0"/>
    <n v="90000"/>
    <x v="1"/>
  </r>
  <r>
    <n v="73"/>
    <x v="72"/>
    <x v="3"/>
    <x v="0"/>
    <s v="USA"/>
    <s v="28960 MT"/>
    <s v="B12"/>
    <x v="2"/>
    <x v="3"/>
    <n v="790500"/>
    <x v="2"/>
  </r>
  <r>
    <n v="74"/>
    <x v="73"/>
    <x v="17"/>
    <x v="0"/>
    <s v="Australia"/>
    <s v="37620 MT"/>
    <s v="B3"/>
    <x v="1"/>
    <x v="1"/>
    <n v="84500"/>
    <x v="3"/>
  </r>
  <r>
    <n v="75"/>
    <x v="74"/>
    <x v="3"/>
    <x v="0"/>
    <s v="Australia"/>
    <s v="71240 MT"/>
    <s v="B5"/>
    <x v="1"/>
    <x v="3"/>
    <n v="20000"/>
    <x v="2"/>
  </r>
  <r>
    <n v="76"/>
    <x v="75"/>
    <x v="13"/>
    <x v="2"/>
    <s v="Russia"/>
    <s v="23980 MT"/>
    <s v="B7"/>
    <x v="2"/>
    <x v="4"/>
    <n v="11500"/>
    <x v="3"/>
  </r>
  <r>
    <n v="77"/>
    <x v="76"/>
    <x v="18"/>
    <x v="2"/>
    <s v="Morocco"/>
    <s v="41780 MT"/>
    <s v="B1"/>
    <x v="1"/>
    <x v="1"/>
    <n v="238500"/>
    <x v="2"/>
  </r>
  <r>
    <n v="78"/>
    <x v="77"/>
    <x v="18"/>
    <x v="2"/>
    <s v="Morocco"/>
    <s v="108900 MT"/>
    <s v="B9"/>
    <x v="2"/>
    <x v="2"/>
    <n v="111500"/>
    <x v="0"/>
  </r>
  <r>
    <n v="79"/>
    <x v="78"/>
    <x v="11"/>
    <x v="3"/>
    <s v="USA"/>
    <s v="52960 MT"/>
    <s v="B11"/>
    <x v="1"/>
    <x v="3"/>
    <n v="16000"/>
    <x v="2"/>
  </r>
  <r>
    <n v="80"/>
    <x v="79"/>
    <x v="10"/>
    <x v="5"/>
    <s v="Australia"/>
    <s v="34680 MT"/>
    <s v="B4"/>
    <x v="0"/>
    <x v="2"/>
    <n v="229000"/>
    <x v="0"/>
  </r>
  <r>
    <n v="81"/>
    <x v="80"/>
    <x v="9"/>
    <x v="5"/>
    <s v="South Africa"/>
    <s v="28620 MT"/>
    <s v="B6"/>
    <x v="1"/>
    <x v="3"/>
    <n v="654500"/>
    <x v="0"/>
  </r>
  <r>
    <n v="82"/>
    <x v="81"/>
    <x v="16"/>
    <x v="1"/>
    <s v="Saudi Arabia"/>
    <s v="58940 MT"/>
    <s v="B2"/>
    <x v="2"/>
    <x v="3"/>
    <n v="571500"/>
    <x v="1"/>
  </r>
  <r>
    <n v="83"/>
    <x v="82"/>
    <x v="13"/>
    <x v="2"/>
    <s v="Canada"/>
    <s v="43580 MT"/>
    <s v="B8"/>
    <x v="0"/>
    <x v="1"/>
    <n v="38500"/>
    <x v="2"/>
  </r>
  <r>
    <n v="84"/>
    <x v="83"/>
    <x v="19"/>
    <x v="1"/>
    <s v="Iran"/>
    <s v="77680 MT"/>
    <s v="B10"/>
    <x v="0"/>
    <x v="2"/>
    <n v="129000"/>
    <x v="2"/>
  </r>
  <r>
    <n v="85"/>
    <x v="84"/>
    <x v="17"/>
    <x v="0"/>
    <s v="USA"/>
    <s v="31140 MT"/>
    <s v="B3"/>
    <x v="0"/>
    <x v="2"/>
    <n v="135000"/>
    <x v="2"/>
  </r>
  <r>
    <n v="86"/>
    <x v="85"/>
    <x v="20"/>
    <x v="1"/>
    <s v="Iran"/>
    <s v="40260 MT"/>
    <s v="B5"/>
    <x v="0"/>
    <x v="3"/>
    <n v="145000"/>
    <x v="2"/>
  </r>
  <r>
    <n v="87"/>
    <x v="86"/>
    <x v="21"/>
    <x v="3"/>
    <s v="USA"/>
    <s v="99500 MT"/>
    <s v="B7"/>
    <x v="0"/>
    <x v="0"/>
    <n v="231500"/>
    <x v="3"/>
  </r>
  <r>
    <n v="88"/>
    <x v="87"/>
    <x v="5"/>
    <x v="2"/>
    <s v="Russia"/>
    <s v="55740 MT"/>
    <s v="B12"/>
    <x v="2"/>
    <x v="3"/>
    <n v="475500"/>
    <x v="2"/>
  </r>
  <r>
    <n v="89"/>
    <x v="88"/>
    <x v="18"/>
    <x v="2"/>
    <s v="Jordan"/>
    <s v="25780 MT"/>
    <s v="B1"/>
    <x v="1"/>
    <x v="3"/>
    <n v="206000"/>
    <x v="2"/>
  </r>
  <r>
    <n v="90"/>
    <x v="89"/>
    <x v="9"/>
    <x v="5"/>
    <s v="Brazil"/>
    <s v="69240 MT"/>
    <s v="B9"/>
    <x v="0"/>
    <x v="2"/>
    <n v="50000"/>
    <x v="0"/>
  </r>
  <r>
    <n v="91"/>
    <x v="90"/>
    <x v="14"/>
    <x v="3"/>
    <s v="Japan"/>
    <s v="48460 MT"/>
    <s v="B4"/>
    <x v="0"/>
    <x v="3"/>
    <n v="45500"/>
    <x v="0"/>
  </r>
  <r>
    <n v="92"/>
    <x v="91"/>
    <x v="12"/>
    <x v="3"/>
    <s v="Singapore"/>
    <s v="84200 MT"/>
    <s v="B6"/>
    <x v="2"/>
    <x v="0"/>
    <n v="238000"/>
    <x v="0"/>
  </r>
  <r>
    <n v="93"/>
    <x v="92"/>
    <x v="8"/>
    <x v="1"/>
    <s v="Saudi Arabia"/>
    <s v="29680 MT"/>
    <s v="B2"/>
    <x v="2"/>
    <x v="4"/>
    <n v="225000"/>
    <x v="3"/>
  </r>
  <r>
    <n v="94"/>
    <x v="93"/>
    <x v="8"/>
    <x v="1"/>
    <s v="UAE"/>
    <s v="36840 MT"/>
    <s v="B8"/>
    <x v="0"/>
    <x v="0"/>
    <n v="15500"/>
    <x v="1"/>
  </r>
  <r>
    <n v="95"/>
    <x v="94"/>
    <x v="17"/>
    <x v="0"/>
    <s v="Russia"/>
    <s v="73460 MT"/>
    <s v="B10"/>
    <x v="1"/>
    <x v="2"/>
    <n v="27000"/>
    <x v="2"/>
  </r>
  <r>
    <n v="96"/>
    <x v="95"/>
    <x v="3"/>
    <x v="0"/>
    <s v="Indonesia"/>
    <s v="24560 MT"/>
    <s v="B3"/>
    <x v="0"/>
    <x v="1"/>
    <n v="507500"/>
    <x v="2"/>
  </r>
  <r>
    <n v="97"/>
    <x v="96"/>
    <x v="4"/>
    <x v="1"/>
    <s v="Kuwait"/>
    <s v="40920 MT"/>
    <s v="B5"/>
    <x v="0"/>
    <x v="4"/>
    <n v="403500"/>
    <x v="1"/>
  </r>
  <r>
    <n v="98"/>
    <x v="97"/>
    <x v="16"/>
    <x v="1"/>
    <s v="Iraq"/>
    <s v="121800 MT"/>
    <s v="B7"/>
    <x v="0"/>
    <x v="3"/>
    <n v="173000"/>
    <x v="3"/>
  </r>
  <r>
    <n v="99"/>
    <x v="98"/>
    <x v="9"/>
    <x v="5"/>
    <s v="South Africa"/>
    <s v="47580 MT"/>
    <s v="B11"/>
    <x v="0"/>
    <x v="3"/>
    <n v="173000"/>
    <x v="2"/>
  </r>
  <r>
    <n v="100"/>
    <x v="99"/>
    <x v="1"/>
    <x v="0"/>
    <s v="Indonesia"/>
    <s v="33940 MT"/>
    <s v="B1"/>
    <x v="2"/>
    <x v="3"/>
    <n v="130000"/>
    <x v="1"/>
  </r>
  <r>
    <n v="101"/>
    <x v="100"/>
    <x v="8"/>
    <x v="1"/>
    <s v="UAE"/>
    <s v="28160 MT"/>
    <s v="B9"/>
    <x v="1"/>
    <x v="1"/>
    <n v="81500"/>
    <x v="2"/>
  </r>
  <r>
    <n v="102"/>
    <x v="101"/>
    <x v="10"/>
    <x v="5"/>
    <s v="Brazil"/>
    <s v="61280 MT"/>
    <s v="B4"/>
    <x v="2"/>
    <x v="3"/>
    <n v="8500"/>
    <x v="1"/>
  </r>
  <r>
    <n v="103"/>
    <x v="102"/>
    <x v="1"/>
    <x v="0"/>
    <s v="Indonesia"/>
    <s v="45620 MT"/>
    <s v="B6"/>
    <x v="1"/>
    <x v="4"/>
    <n v="40500"/>
    <x v="2"/>
  </r>
  <r>
    <n v="104"/>
    <x v="103"/>
    <x v="17"/>
    <x v="0"/>
    <s v="USA"/>
    <s v="80850 MT"/>
    <s v="B2"/>
    <x v="2"/>
    <x v="3"/>
    <n v="93500"/>
    <x v="2"/>
  </r>
  <r>
    <n v="105"/>
    <x v="104"/>
    <x v="13"/>
    <x v="2"/>
    <s v="Morocco"/>
    <s v="29240 MT"/>
    <s v="B8"/>
    <x v="0"/>
    <x v="1"/>
    <n v="130000"/>
    <x v="2"/>
  </r>
  <r>
    <n v="106"/>
    <x v="105"/>
    <x v="8"/>
    <x v="1"/>
    <s v="Iran"/>
    <s v="39180 MT"/>
    <s v="B10"/>
    <x v="2"/>
    <x v="0"/>
    <n v="175000"/>
    <x v="3"/>
  </r>
  <r>
    <n v="107"/>
    <x v="106"/>
    <x v="20"/>
    <x v="1"/>
    <s v="UAE"/>
    <s v="72460 MT"/>
    <s v="B12"/>
    <x v="1"/>
    <x v="1"/>
    <n v="34500"/>
    <x v="1"/>
  </r>
  <r>
    <n v="108"/>
    <x v="107"/>
    <x v="16"/>
    <x v="1"/>
    <s v="Saudi Arabia"/>
    <s v="23180 MT"/>
    <s v="B3"/>
    <x v="2"/>
    <x v="2"/>
    <n v="337500"/>
    <x v="2"/>
  </r>
  <r>
    <n v="109"/>
    <x v="108"/>
    <x v="8"/>
    <x v="1"/>
    <s v="Iran"/>
    <s v="42640 MT"/>
    <s v="B5"/>
    <x v="1"/>
    <x v="3"/>
    <n v="400500"/>
    <x v="0"/>
  </r>
  <r>
    <n v="110"/>
    <x v="109"/>
    <x v="4"/>
    <x v="1"/>
    <s v="Iraq"/>
    <s v="113400 MT"/>
    <s v="B7"/>
    <x v="1"/>
    <x v="2"/>
    <n v="69500"/>
    <x v="2"/>
  </r>
  <r>
    <n v="111"/>
    <x v="110"/>
    <x v="8"/>
    <x v="1"/>
    <s v="UAE"/>
    <s v="51880 MT"/>
    <s v="B1"/>
    <x v="0"/>
    <x v="3"/>
    <n v="205500"/>
    <x v="3"/>
  </r>
  <r>
    <n v="112"/>
    <x v="111"/>
    <x v="1"/>
    <x v="0"/>
    <s v="South Africa"/>
    <s v="36240 MT"/>
    <s v="B9"/>
    <x v="1"/>
    <x v="0"/>
    <n v="14000"/>
    <x v="2"/>
  </r>
  <r>
    <n v="113"/>
    <x v="112"/>
    <x v="18"/>
    <x v="2"/>
    <s v="Russia"/>
    <s v="27840 MT"/>
    <s v="B11"/>
    <x v="1"/>
    <x v="4"/>
    <n v="9500"/>
    <x v="2"/>
  </r>
  <r>
    <n v="114"/>
    <x v="113"/>
    <x v="5"/>
    <x v="2"/>
    <s v="China"/>
    <s v="60420 MT"/>
    <s v="B4"/>
    <x v="2"/>
    <x v="1"/>
    <n v="497000"/>
    <x v="2"/>
  </r>
  <r>
    <n v="115"/>
    <x v="114"/>
    <x v="6"/>
    <x v="3"/>
    <s v="Singapore"/>
    <s v="44160 MT"/>
    <s v="B6"/>
    <x v="1"/>
    <x v="0"/>
    <n v="64500"/>
    <x v="2"/>
  </r>
  <r>
    <n v="116"/>
    <x v="115"/>
    <x v="5"/>
    <x v="2"/>
    <s v="Russia"/>
    <s v="79050 MT"/>
    <s v="B2"/>
    <x v="1"/>
    <x v="3"/>
    <n v="457500"/>
    <x v="2"/>
  </r>
  <r>
    <n v="117"/>
    <x v="116"/>
    <x v="12"/>
    <x v="3"/>
    <s v="China"/>
    <s v="30780 MT"/>
    <s v="B8"/>
    <x v="0"/>
    <x v="3"/>
    <n v="25500"/>
    <x v="2"/>
  </r>
  <r>
    <n v="118"/>
    <x v="117"/>
    <x v="3"/>
    <x v="0"/>
    <s v="USA"/>
    <s v="39740 MT"/>
    <s v="B10"/>
    <x v="0"/>
    <x v="3"/>
    <n v="22500"/>
    <x v="1"/>
  </r>
  <r>
    <n v="119"/>
    <x v="118"/>
    <x v="18"/>
    <x v="2"/>
    <s v="Canada"/>
    <s v="96800 MT"/>
    <s v="B3"/>
    <x v="0"/>
    <x v="4"/>
    <n v="106500"/>
    <x v="0"/>
  </r>
  <r>
    <n v="120"/>
    <x v="119"/>
    <x v="1"/>
    <x v="0"/>
    <s v="South Africa"/>
    <s v="54180 MT"/>
    <s v="B5"/>
    <x v="1"/>
    <x v="3"/>
    <n v="35500"/>
    <x v="0"/>
  </r>
  <r>
    <n v="121"/>
    <x v="120"/>
    <x v="16"/>
    <x v="1"/>
    <s v="Iran"/>
    <s v="26140 MT"/>
    <s v="B7"/>
    <x v="2"/>
    <x v="3"/>
    <n v="21000"/>
    <x v="3"/>
  </r>
  <r>
    <n v="122"/>
    <x v="121"/>
    <x v="5"/>
    <x v="2"/>
    <s v="Morocco"/>
    <s v="67280 MT"/>
    <s v="B12"/>
    <x v="0"/>
    <x v="1"/>
    <n v="20000"/>
    <x v="0"/>
  </r>
  <r>
    <n v="123"/>
    <x v="122"/>
    <x v="18"/>
    <x v="2"/>
    <s v="Canada"/>
    <s v="48920 MT"/>
    <s v="B1"/>
    <x v="2"/>
    <x v="0"/>
    <n v="103000"/>
    <x v="0"/>
  </r>
  <r>
    <n v="124"/>
    <x v="123"/>
    <x v="10"/>
    <x v="5"/>
    <s v="Canada"/>
    <s v="85860 MT"/>
    <s v="B9"/>
    <x v="1"/>
    <x v="1"/>
    <n v="337500"/>
    <x v="3"/>
  </r>
  <r>
    <n v="125"/>
    <x v="124"/>
    <x v="15"/>
    <x v="0"/>
    <s v="USA"/>
    <s v="29940 MT"/>
    <s v="B4"/>
    <x v="1"/>
    <x v="3"/>
    <n v="158000"/>
    <x v="3"/>
  </r>
  <r>
    <n v="126"/>
    <x v="125"/>
    <x v="8"/>
    <x v="1"/>
    <s v="Saudi Arabia"/>
    <s v="37480 MT"/>
    <s v="B6"/>
    <x v="2"/>
    <x v="2"/>
    <n v="146000"/>
    <x v="2"/>
  </r>
  <r>
    <n v="127"/>
    <x v="126"/>
    <x v="6"/>
    <x v="3"/>
    <s v="Germany"/>
    <s v="74620 MT"/>
    <s v="B2"/>
    <x v="0"/>
    <x v="1"/>
    <n v="326000"/>
    <x v="2"/>
  </r>
  <r>
    <n v="128"/>
    <x v="127"/>
    <x v="9"/>
    <x v="5"/>
    <s v="Canada"/>
    <s v="25140 MT"/>
    <s v="B8"/>
    <x v="2"/>
    <x v="0"/>
    <n v="187500"/>
    <x v="0"/>
  </r>
  <r>
    <n v="129"/>
    <x v="128"/>
    <x v="18"/>
    <x v="2"/>
    <s v="Jordan"/>
    <s v="41380 MT"/>
    <s v="B10"/>
    <x v="0"/>
    <x v="0"/>
    <n v="616500"/>
    <x v="3"/>
  </r>
  <r>
    <n v="130"/>
    <x v="129"/>
    <x v="1"/>
    <x v="0"/>
    <s v="USA"/>
    <s v="118700 MT"/>
    <s v="B3"/>
    <x v="0"/>
    <x v="0"/>
    <n v="365500"/>
    <x v="0"/>
  </r>
  <r>
    <n v="131"/>
    <x v="130"/>
    <x v="9"/>
    <x v="5"/>
    <s v="South Africa"/>
    <s v="48260 MT"/>
    <s v="B5"/>
    <x v="0"/>
    <x v="2"/>
    <n v="416000"/>
    <x v="0"/>
  </r>
  <r>
    <n v="132"/>
    <x v="131"/>
    <x v="3"/>
    <x v="0"/>
    <s v="Indonesia"/>
    <s v="34480 MT"/>
    <s v="B7"/>
    <x v="0"/>
    <x v="3"/>
    <n v="156000"/>
    <x v="2"/>
  </r>
  <r>
    <n v="133"/>
    <x v="132"/>
    <x v="18"/>
    <x v="2"/>
    <s v="Morocco"/>
    <s v="28460 MT"/>
    <s v="B11"/>
    <x v="0"/>
    <x v="3"/>
    <n v="130000"/>
    <x v="2"/>
  </r>
  <r>
    <n v="134"/>
    <x v="133"/>
    <x v="16"/>
    <x v="1"/>
    <s v="Iraq"/>
    <s v="62840 MT"/>
    <s v="B1"/>
    <x v="0"/>
    <x v="0"/>
    <n v="458000"/>
    <x v="3"/>
  </r>
  <r>
    <n v="135"/>
    <x v="134"/>
    <x v="8"/>
    <x v="1"/>
    <s v="UAE"/>
    <s v="45980 MT"/>
    <s v="B9"/>
    <x v="0"/>
    <x v="3"/>
    <n v="21000"/>
    <x v="3"/>
  </r>
  <r>
    <n v="136"/>
    <x v="135"/>
    <x v="21"/>
    <x v="3"/>
    <s v="Singapore"/>
    <s v="82200 MT"/>
    <s v="B4"/>
    <x v="2"/>
    <x v="0"/>
    <n v="24500"/>
    <x v="3"/>
  </r>
  <r>
    <n v="137"/>
    <x v="136"/>
    <x v="5"/>
    <x v="2"/>
    <s v="China"/>
    <s v="29380 MT"/>
    <s v="B6"/>
    <x v="0"/>
    <x v="1"/>
    <n v="42500"/>
    <x v="0"/>
  </r>
  <r>
    <n v="138"/>
    <x v="137"/>
    <x v="6"/>
    <x v="3"/>
    <s v="Japan"/>
    <s v="38540 MT"/>
    <s v="B2"/>
    <x v="2"/>
    <x v="0"/>
    <n v="34500"/>
    <x v="2"/>
  </r>
  <r>
    <n v="139"/>
    <x v="138"/>
    <x v="6"/>
    <x v="3"/>
    <s v="Singapore"/>
    <s v="70120 MT"/>
    <s v="B8"/>
    <x v="0"/>
    <x v="1"/>
    <n v="38000"/>
    <x v="2"/>
  </r>
  <r>
    <n v="140"/>
    <x v="139"/>
    <x v="6"/>
    <x v="3"/>
    <s v="Germany"/>
    <s v="23460 MT"/>
    <s v="B10"/>
    <x v="0"/>
    <x v="3"/>
    <n v="21500"/>
    <x v="1"/>
  </r>
  <r>
    <n v="141"/>
    <x v="140"/>
    <x v="14"/>
    <x v="3"/>
    <s v="Singapore"/>
    <s v="42080 MT"/>
    <s v="B12"/>
    <x v="0"/>
    <x v="3"/>
    <n v="139000"/>
    <x v="2"/>
  </r>
  <r>
    <n v="142"/>
    <x v="141"/>
    <x v="11"/>
    <x v="3"/>
    <s v="Germany"/>
    <s v="111600 MT"/>
    <s v="B3"/>
    <x v="0"/>
    <x v="1"/>
    <n v="291000"/>
    <x v="2"/>
  </r>
  <r>
    <n v="143"/>
    <x v="142"/>
    <x v="11"/>
    <x v="3"/>
    <s v="Singapore"/>
    <s v="52640 MT"/>
    <s v="B5"/>
    <x v="0"/>
    <x v="0"/>
    <n v="104500"/>
    <x v="0"/>
  </r>
  <r>
    <n v="144"/>
    <x v="143"/>
    <x v="16"/>
    <x v="1"/>
    <s v="Iran"/>
    <s v="36780 MT"/>
    <s v="B7"/>
    <x v="2"/>
    <x v="1"/>
    <n v="5500"/>
    <x v="2"/>
  </r>
  <r>
    <n v="145"/>
    <x v="144"/>
    <x v="21"/>
    <x v="3"/>
    <s v="Germany"/>
    <s v="28040 MT"/>
    <s v="B1"/>
    <x v="2"/>
    <x v="2"/>
    <n v="147500"/>
    <x v="2"/>
  </r>
  <r>
    <n v="146"/>
    <x v="145"/>
    <x v="10"/>
    <x v="5"/>
    <s v="Brazil"/>
    <s v="59680 MT"/>
    <s v="B9"/>
    <x v="0"/>
    <x v="3"/>
    <n v="19000"/>
    <x v="2"/>
  </r>
  <r>
    <n v="147"/>
    <x v="146"/>
    <x v="11"/>
    <x v="3"/>
    <s v="Germany"/>
    <s v="43940 MT"/>
    <s v="B11"/>
    <x v="0"/>
    <x v="3"/>
    <n v="451000"/>
    <x v="2"/>
  </r>
  <r>
    <n v="148"/>
    <x v="147"/>
    <x v="10"/>
    <x v="5"/>
    <s v="Canada"/>
    <s v="78420 MT"/>
    <s v="B4"/>
    <x v="0"/>
    <x v="3"/>
    <n v="17000"/>
    <x v="2"/>
  </r>
  <r>
    <n v="149"/>
    <x v="148"/>
    <x v="9"/>
    <x v="5"/>
    <s v="Canada"/>
    <s v="30960 MT"/>
    <s v="B6"/>
    <x v="1"/>
    <x v="0"/>
    <n v="58500"/>
    <x v="2"/>
  </r>
  <r>
    <n v="150"/>
    <x v="149"/>
    <x v="8"/>
    <x v="1"/>
    <s v="Iraq"/>
    <s v="39480 MT"/>
    <s v="B2"/>
    <x v="1"/>
    <x v="4"/>
    <n v="249500"/>
    <x v="1"/>
  </r>
  <r>
    <n v="151"/>
    <x v="150"/>
    <x v="12"/>
    <x v="3"/>
    <s v="China"/>
    <s v="94900 MT"/>
    <s v="B8"/>
    <x v="0"/>
    <x v="3"/>
    <n v="152000"/>
    <x v="3"/>
  </r>
  <r>
    <n v="152"/>
    <x v="151"/>
    <x v="20"/>
    <x v="1"/>
    <s v="UAE"/>
    <s v="53580 MT"/>
    <s v="B10"/>
    <x v="0"/>
    <x v="0"/>
    <n v="27500"/>
    <x v="2"/>
  </r>
  <r>
    <n v="153"/>
    <x v="152"/>
    <x v="8"/>
    <x v="1"/>
    <s v="Saudi Arabia"/>
    <s v="26380 MT"/>
    <s v="B3"/>
    <x v="2"/>
    <x v="1"/>
    <n v="319500"/>
    <x v="2"/>
  </r>
  <r>
    <n v="154"/>
    <x v="153"/>
    <x v="5"/>
    <x v="2"/>
    <s v="Canada"/>
    <s v="66120 MT"/>
    <s v="B5"/>
    <x v="1"/>
    <x v="4"/>
    <n v="161500"/>
    <x v="2"/>
  </r>
  <r>
    <n v="155"/>
    <x v="154"/>
    <x v="4"/>
    <x v="1"/>
    <s v="Iran"/>
    <s v="47840 MT"/>
    <s v="B7"/>
    <x v="2"/>
    <x v="0"/>
    <n v="17000"/>
    <x v="3"/>
  </r>
  <r>
    <n v="156"/>
    <x v="155"/>
    <x v="7"/>
    <x v="4"/>
    <s v="UAE"/>
    <s v="84650 MT"/>
    <s v="B12"/>
    <x v="0"/>
    <x v="0"/>
    <n v="93500"/>
    <x v="2"/>
  </r>
  <r>
    <n v="157"/>
    <x v="156"/>
    <x v="5"/>
    <x v="2"/>
    <s v="Canada"/>
    <s v="30080 MT"/>
    <s v="B1"/>
    <x v="2"/>
    <x v="0"/>
    <n v="248500"/>
    <x v="3"/>
  </r>
  <r>
    <n v="158"/>
    <x v="157"/>
    <x v="8"/>
    <x v="1"/>
    <s v="Iraq"/>
    <s v="37240 MT"/>
    <s v="B9"/>
    <x v="2"/>
    <x v="3"/>
    <n v="438000"/>
    <x v="2"/>
  </r>
  <r>
    <n v="159"/>
    <x v="158"/>
    <x v="17"/>
    <x v="0"/>
    <s v="Russia"/>
    <s v="73860 MT"/>
    <s v="B4"/>
    <x v="1"/>
    <x v="4"/>
    <n v="371000"/>
    <x v="3"/>
  </r>
  <r>
    <n v="160"/>
    <x v="159"/>
    <x v="20"/>
    <x v="1"/>
    <s v="UAE"/>
    <s v="24780 MT"/>
    <s v="B6"/>
    <x v="1"/>
    <x v="3"/>
    <n v="60000"/>
    <x v="2"/>
  </r>
  <r>
    <n v="161"/>
    <x v="160"/>
    <x v="16"/>
    <x v="1"/>
    <s v="Iraq"/>
    <s v="40540 MT"/>
    <s v="B2"/>
    <x v="1"/>
    <x v="3"/>
    <n v="549000"/>
    <x v="0"/>
  </r>
  <r>
    <n v="162"/>
    <x v="161"/>
    <x v="7"/>
    <x v="4"/>
    <s v="Qatar"/>
    <s v="124300 MT"/>
    <s v="B8"/>
    <x v="2"/>
    <x v="2"/>
    <n v="35000"/>
    <x v="2"/>
  </r>
  <r>
    <n v="163"/>
    <x v="162"/>
    <x v="15"/>
    <x v="0"/>
    <s v="South Africa"/>
    <s v="46980 MT"/>
    <s v="B10"/>
    <x v="0"/>
    <x v="4"/>
    <n v="161000"/>
    <x v="1"/>
  </r>
  <r>
    <n v="164"/>
    <x v="163"/>
    <x v="10"/>
    <x v="5"/>
    <s v="Brazil"/>
    <s v="33820 MT"/>
    <s v="B3"/>
    <x v="1"/>
    <x v="1"/>
    <n v="358500"/>
    <x v="2"/>
  </r>
  <r>
    <n v="165"/>
    <x v="164"/>
    <x v="6"/>
    <x v="3"/>
    <s v="China"/>
    <s v="28760 MT"/>
    <s v="B5"/>
    <x v="1"/>
    <x v="1"/>
    <n v="35500"/>
    <x v="1"/>
  </r>
  <r>
    <n v="166"/>
    <x v="165"/>
    <x v="4"/>
    <x v="1"/>
    <s v="UAE"/>
    <s v="61940 MT"/>
    <s v="B7"/>
    <x v="2"/>
    <x v="4"/>
    <n v="449500"/>
    <x v="0"/>
  </r>
  <r>
    <n v="167"/>
    <x v="166"/>
    <x v="17"/>
    <x v="0"/>
    <s v="South Africa"/>
    <s v="45380 MT"/>
    <s v="B11"/>
    <x v="2"/>
    <x v="1"/>
    <n v="607000"/>
    <x v="0"/>
  </r>
  <r>
    <n v="168"/>
    <x v="167"/>
    <x v="17"/>
    <x v="0"/>
    <s v="USA"/>
    <s v="80120 MT"/>
    <s v="B1"/>
    <x v="0"/>
    <x v="3"/>
    <n v="33000"/>
    <x v="2"/>
  </r>
  <r>
    <n v="169"/>
    <x v="168"/>
    <x v="6"/>
    <x v="3"/>
    <s v="Germany"/>
    <s v="29160 MT"/>
    <s v="B9"/>
    <x v="2"/>
    <x v="3"/>
    <n v="210000"/>
    <x v="2"/>
  </r>
  <r>
    <n v="170"/>
    <x v="169"/>
    <x v="16"/>
    <x v="1"/>
    <s v="Kuwait"/>
    <s v="38940 MT"/>
    <s v="B4"/>
    <x v="0"/>
    <x v="3"/>
    <n v="59000"/>
    <x v="0"/>
  </r>
  <r>
    <n v="171"/>
    <x v="170"/>
    <x v="13"/>
    <x v="2"/>
    <s v="Canada"/>
    <s v="71680 MT"/>
    <s v="B6"/>
    <x v="2"/>
    <x v="4"/>
    <n v="354500"/>
    <x v="0"/>
  </r>
  <r>
    <n v="172"/>
    <x v="171"/>
    <x v="17"/>
    <x v="0"/>
    <s v="Indonesia"/>
    <s v="23680 MT"/>
    <s v="B2"/>
    <x v="2"/>
    <x v="3"/>
    <n v="303000"/>
    <x v="0"/>
  </r>
  <r>
    <n v="173"/>
    <x v="172"/>
    <x v="8"/>
    <x v="1"/>
    <s v="Kuwait"/>
    <s v="42360 MT"/>
    <s v="B8"/>
    <x v="2"/>
    <x v="1"/>
    <n v="83000"/>
    <x v="2"/>
  </r>
  <r>
    <n v="174"/>
    <x v="173"/>
    <x v="17"/>
    <x v="0"/>
    <s v="USA"/>
    <s v="107500 MT"/>
    <s v="B10"/>
    <x v="1"/>
    <x v="0"/>
    <n v="118000"/>
    <x v="3"/>
  </r>
  <r>
    <n v="175"/>
    <x v="174"/>
    <x v="15"/>
    <x v="0"/>
    <s v="USA"/>
    <s v="52140 MT"/>
    <s v="B12"/>
    <x v="1"/>
    <x v="0"/>
    <n v="417500"/>
    <x v="0"/>
  </r>
  <r>
    <n v="176"/>
    <x v="175"/>
    <x v="17"/>
    <x v="0"/>
    <s v="Australia"/>
    <s v="36080 MT"/>
    <s v="B3"/>
    <x v="2"/>
    <x v="3"/>
    <n v="137500"/>
    <x v="3"/>
  </r>
  <r>
    <n v="177"/>
    <x v="176"/>
    <x v="8"/>
    <x v="1"/>
    <s v="Iran"/>
    <s v="27960 MT"/>
    <s v="B5"/>
    <x v="1"/>
    <x v="0"/>
    <n v="265000"/>
    <x v="0"/>
  </r>
  <r>
    <n v="178"/>
    <x v="177"/>
    <x v="21"/>
    <x v="3"/>
    <s v="China"/>
    <s v="60580 MT"/>
    <s v="B7"/>
    <x v="1"/>
    <x v="0"/>
    <n v="48000"/>
    <x v="3"/>
  </r>
  <r>
    <n v="179"/>
    <x v="178"/>
    <x v="21"/>
    <x v="3"/>
    <s v="China"/>
    <s v="44620 MT"/>
    <s v="B1"/>
    <x v="1"/>
    <x v="2"/>
    <n v="326500"/>
    <x v="2"/>
  </r>
  <r>
    <n v="180"/>
    <x v="179"/>
    <x v="15"/>
    <x v="0"/>
    <s v="USA"/>
    <s v="77240 MT"/>
    <s v="B9"/>
    <x v="1"/>
    <x v="0"/>
    <n v="102000"/>
    <x v="2"/>
  </r>
  <r>
    <n v="181"/>
    <x v="180"/>
    <x v="13"/>
    <x v="2"/>
    <s v="Canada"/>
    <s v="31280 MT"/>
    <s v="B11"/>
    <x v="2"/>
    <x v="4"/>
    <n v="333000"/>
    <x v="2"/>
  </r>
  <r>
    <n v="182"/>
    <x v="181"/>
    <x v="14"/>
    <x v="3"/>
    <s v="China"/>
    <s v="39880 MT"/>
    <s v="B4"/>
    <x v="0"/>
    <x v="3"/>
    <n v="148500"/>
    <x v="2"/>
  </r>
  <r>
    <n v="183"/>
    <x v="182"/>
    <x v="8"/>
    <x v="1"/>
    <s v="UAE"/>
    <s v="98200 MT"/>
    <s v="B6"/>
    <x v="0"/>
    <x v="0"/>
    <n v="33000"/>
    <x v="0"/>
  </r>
  <r>
    <n v="184"/>
    <x v="183"/>
    <x v="7"/>
    <x v="4"/>
    <s v="Saudi Arabia"/>
    <s v="54820 MT"/>
    <s v="B2"/>
    <x v="0"/>
    <x v="4"/>
    <n v="617000"/>
    <x v="0"/>
  </r>
  <r>
    <n v="185"/>
    <x v="184"/>
    <x v="8"/>
    <x v="1"/>
    <s v="Iraq"/>
    <s v="25980 MT"/>
    <s v="B8"/>
    <x v="1"/>
    <x v="3"/>
    <n v="110000"/>
    <x v="2"/>
  </r>
  <r>
    <n v="186"/>
    <x v="185"/>
    <x v="21"/>
    <x v="3"/>
    <s v="USA"/>
    <s v="68640 MT"/>
    <s v="B10"/>
    <x v="1"/>
    <x v="0"/>
    <n v="714000"/>
    <x v="1"/>
  </r>
  <r>
    <n v="187"/>
    <x v="186"/>
    <x v="19"/>
    <x v="1"/>
    <s v="UAE"/>
    <s v="48580 MT"/>
    <s v="B3"/>
    <x v="1"/>
    <x v="0"/>
    <n v="246500"/>
    <x v="0"/>
  </r>
  <r>
    <n v="188"/>
    <x v="187"/>
    <x v="16"/>
    <x v="1"/>
    <s v="UAE"/>
    <s v="86400 MT"/>
    <s v="B5"/>
    <x v="2"/>
    <x v="4"/>
    <n v="93500"/>
    <x v="1"/>
  </r>
  <r>
    <n v="189"/>
    <x v="188"/>
    <x v="12"/>
    <x v="3"/>
    <s v="Germany"/>
    <s v="29820 MT"/>
    <s v="B7"/>
    <x v="0"/>
    <x v="1"/>
    <n v="698000"/>
    <x v="0"/>
  </r>
  <r>
    <n v="190"/>
    <x v="189"/>
    <x v="21"/>
    <x v="3"/>
    <s v="USA"/>
    <s v="37060 MT"/>
    <s v="B12"/>
    <x v="2"/>
    <x v="2"/>
    <n v="165500"/>
    <x v="2"/>
  </r>
  <r>
    <n v="191"/>
    <x v="190"/>
    <x v="15"/>
    <x v="0"/>
    <s v="Australia"/>
    <s v="72840 MT"/>
    <s v="B1"/>
    <x v="1"/>
    <x v="3"/>
    <n v="38500"/>
    <x v="3"/>
  </r>
  <r>
    <n v="192"/>
    <x v="191"/>
    <x v="8"/>
    <x v="1"/>
    <s v="Kuwait"/>
    <s v="24980 MT"/>
    <s v="B9"/>
    <x v="0"/>
    <x v="1"/>
    <n v="21000"/>
    <x v="0"/>
  </r>
  <r>
    <n v="193"/>
    <x v="192"/>
    <x v="7"/>
    <x v="4"/>
    <s v="UAE"/>
    <s v="40860 MT"/>
    <s v="B4"/>
    <x v="1"/>
    <x v="3"/>
    <n v="141000"/>
    <x v="0"/>
  </r>
  <r>
    <n v="194"/>
    <x v="193"/>
    <x v="18"/>
    <x v="2"/>
    <s v="Russia"/>
    <s v="117900 MT"/>
    <s v="B6"/>
    <x v="2"/>
    <x v="3"/>
    <n v="30000"/>
    <x v="2"/>
  </r>
  <r>
    <n v="195"/>
    <x v="194"/>
    <x v="19"/>
    <x v="1"/>
    <s v="UAE"/>
    <s v="47640 MT"/>
    <s v="B2"/>
    <x v="0"/>
    <x v="3"/>
    <n v="40500"/>
    <x v="2"/>
  </r>
  <r>
    <n v="196"/>
    <x v="195"/>
    <x v="21"/>
    <x v="3"/>
    <s v="China"/>
    <s v="34180 MT"/>
    <s v="B8"/>
    <x v="0"/>
    <x v="3"/>
    <n v="31500"/>
    <x v="0"/>
  </r>
  <r>
    <n v="197"/>
    <x v="196"/>
    <x v="6"/>
    <x v="3"/>
    <s v="USA"/>
    <s v="28340 MT"/>
    <s v="B10"/>
    <x v="2"/>
    <x v="2"/>
    <n v="29000"/>
    <x v="1"/>
  </r>
  <r>
    <n v="198"/>
    <x v="197"/>
    <x v="9"/>
    <x v="5"/>
    <s v="South Africa"/>
    <s v="61460 MT"/>
    <s v="B3"/>
    <x v="2"/>
    <x v="3"/>
    <n v="24500"/>
    <x v="2"/>
  </r>
  <r>
    <n v="199"/>
    <x v="198"/>
    <x v="20"/>
    <x v="1"/>
    <s v="Saudi Arabia"/>
    <s v="45780 MT"/>
    <s v="B5"/>
    <x v="1"/>
    <x v="4"/>
    <n v="142000"/>
    <x v="2"/>
  </r>
  <r>
    <n v="200"/>
    <x v="199"/>
    <x v="12"/>
    <x v="3"/>
    <s v="USA"/>
    <s v="81580 MT"/>
    <s v="B7"/>
    <x v="1"/>
    <x v="4"/>
    <n v="29000"/>
    <x v="1"/>
  </r>
  <r>
    <n v="201"/>
    <x v="200"/>
    <x v="7"/>
    <x v="4"/>
    <s v="Saudi Arabia"/>
    <s v="29460 MT"/>
    <s v="B11"/>
    <x v="2"/>
    <x v="4"/>
    <n v="19500"/>
    <x v="0"/>
  </r>
  <r>
    <n v="202"/>
    <x v="201"/>
    <x v="18"/>
    <x v="2"/>
    <s v="Russia"/>
    <s v="39240 MT"/>
    <s v="B1"/>
    <x v="2"/>
    <x v="2"/>
    <n v="25500"/>
    <x v="2"/>
  </r>
  <r>
    <n v="203"/>
    <x v="202"/>
    <x v="6"/>
    <x v="3"/>
    <s v="Singapore"/>
    <s v="70820 MT"/>
    <s v="B9"/>
    <x v="0"/>
    <x v="1"/>
    <n v="727500"/>
    <x v="2"/>
  </r>
  <r>
    <n v="204"/>
    <x v="203"/>
    <x v="20"/>
    <x v="1"/>
    <s v="Kuwait"/>
    <s v="23360 MT"/>
    <s v="B4"/>
    <x v="2"/>
    <x v="2"/>
    <n v="32000"/>
    <x v="2"/>
  </r>
  <r>
    <n v="205"/>
    <x v="204"/>
    <x v="21"/>
    <x v="3"/>
    <s v="Germany"/>
    <s v="41820 MT"/>
    <s v="B6"/>
    <x v="1"/>
    <x v="3"/>
    <n v="212000"/>
    <x v="0"/>
  </r>
  <r>
    <n v="206"/>
    <x v="205"/>
    <x v="7"/>
    <x v="4"/>
    <s v="UAE"/>
    <s v="110900 MT"/>
    <s v="B2"/>
    <x v="0"/>
    <x v="2"/>
    <n v="598000"/>
    <x v="2"/>
  </r>
  <r>
    <n v="207"/>
    <x v="206"/>
    <x v="19"/>
    <x v="1"/>
    <s v="UAE"/>
    <s v="51480 MT"/>
    <s v="B8"/>
    <x v="2"/>
    <x v="0"/>
    <n v="643000"/>
    <x v="2"/>
  </r>
  <r>
    <n v="208"/>
    <x v="207"/>
    <x v="9"/>
    <x v="5"/>
    <s v="South Africa"/>
    <s v="36420 MT"/>
    <s v="B10"/>
    <x v="0"/>
    <x v="0"/>
    <n v="59000"/>
    <x v="2"/>
  </r>
  <r>
    <n v="209"/>
    <x v="208"/>
    <x v="9"/>
    <x v="5"/>
    <s v="Brazil"/>
    <s v="27680 MT"/>
    <s v="B12"/>
    <x v="0"/>
    <x v="0"/>
    <n v="103500"/>
    <x v="2"/>
  </r>
  <r>
    <n v="210"/>
    <x v="209"/>
    <x v="7"/>
    <x v="4"/>
    <s v="Kuwait"/>
    <s v="59080 MT"/>
    <s v="B3"/>
    <x v="2"/>
    <x v="3"/>
    <n v="54000"/>
    <x v="3"/>
  </r>
  <r>
    <n v="211"/>
    <x v="210"/>
    <x v="6"/>
    <x v="3"/>
    <s v="Singapore"/>
    <s v="43860 MT"/>
    <s v="B5"/>
    <x v="0"/>
    <x v="1"/>
    <n v="112000"/>
    <x v="0"/>
  </r>
  <r>
    <n v="212"/>
    <x v="211"/>
    <x v="9"/>
    <x v="5"/>
    <s v="South Africa"/>
    <s v="78120 MT"/>
    <s v="B7"/>
    <x v="1"/>
    <x v="1"/>
    <n v="449500"/>
    <x v="2"/>
  </r>
  <r>
    <n v="213"/>
    <x v="212"/>
    <x v="12"/>
    <x v="3"/>
    <s v="China"/>
    <s v="30640 MT"/>
    <s v="B1"/>
    <x v="1"/>
    <x v="1"/>
    <n v="149500"/>
    <x v="2"/>
  </r>
  <r>
    <n v="214"/>
    <x v="213"/>
    <x v="20"/>
    <x v="1"/>
    <s v="Iran"/>
    <s v="39680 MT"/>
    <s v="B9"/>
    <x v="1"/>
    <x v="2"/>
    <n v="630000"/>
    <x v="0"/>
  </r>
  <r>
    <n v="215"/>
    <x v="214"/>
    <x v="14"/>
    <x v="3"/>
    <s v="Japan"/>
    <s v="95780 MT"/>
    <s v="B11"/>
    <x v="1"/>
    <x v="0"/>
    <n v="368000"/>
    <x v="0"/>
  </r>
  <r>
    <n v="216"/>
    <x v="215"/>
    <x v="6"/>
    <x v="3"/>
    <s v="Japan"/>
    <s v="54360 MT"/>
    <s v="B4"/>
    <x v="0"/>
    <x v="0"/>
    <n v="184500"/>
    <x v="3"/>
  </r>
  <r>
    <n v="217"/>
    <x v="216"/>
    <x v="14"/>
    <x v="3"/>
    <s v="Singapore"/>
    <s v="26240 MT"/>
    <s v="B6"/>
    <x v="2"/>
    <x v="4"/>
    <n v="94500"/>
    <x v="1"/>
  </r>
  <r>
    <n v="218"/>
    <x v="217"/>
    <x v="21"/>
    <x v="3"/>
    <s v="China"/>
    <s v="67480 MT"/>
    <s v="B2"/>
    <x v="1"/>
    <x v="3"/>
    <n v="421500"/>
    <x v="3"/>
  </r>
  <r>
    <n v="219"/>
    <x v="218"/>
    <x v="7"/>
    <x v="4"/>
    <s v="Qatar"/>
    <s v="48220 MT"/>
    <s v="B8"/>
    <x v="0"/>
    <x v="0"/>
    <n v="24000"/>
    <x v="2"/>
  </r>
  <r>
    <n v="220"/>
    <x v="219"/>
    <x v="15"/>
    <x v="0"/>
    <s v="Russia"/>
    <s v="85380 MT"/>
    <s v="B10"/>
    <x v="2"/>
    <x v="0"/>
    <n v="345500"/>
    <x v="2"/>
  </r>
  <r>
    <n v="221"/>
    <x v="220"/>
    <x v="10"/>
    <x v="5"/>
    <s v="South Africa"/>
    <s v="30160 MT"/>
    <s v="B3"/>
    <x v="1"/>
    <x v="4"/>
    <n v="124500"/>
    <x v="0"/>
  </r>
  <r>
    <n v="222"/>
    <x v="221"/>
    <x v="6"/>
    <x v="3"/>
    <s v="USA"/>
    <s v="37540 MT"/>
    <s v="B5"/>
    <x v="1"/>
    <x v="2"/>
    <n v="89500"/>
    <x v="0"/>
  </r>
  <r>
    <n v="223"/>
    <x v="222"/>
    <x v="4"/>
    <x v="1"/>
    <s v="Saudi Arabia"/>
    <s v="74260 MT"/>
    <s v="B7"/>
    <x v="0"/>
    <x v="3"/>
    <n v="29500"/>
    <x v="2"/>
  </r>
  <r>
    <n v="224"/>
    <x v="223"/>
    <x v="20"/>
    <x v="1"/>
    <s v="Iraq"/>
    <s v="25080 MT"/>
    <s v="B12"/>
    <x v="0"/>
    <x v="2"/>
    <n v="24000"/>
    <x v="2"/>
  </r>
  <r>
    <n v="225"/>
    <x v="224"/>
    <x v="20"/>
    <x v="1"/>
    <s v="Kuwait"/>
    <s v="41160 MT"/>
    <s v="B1"/>
    <x v="0"/>
    <x v="3"/>
    <n v="57500"/>
    <x v="0"/>
  </r>
  <r>
    <n v="226"/>
    <x v="225"/>
    <x v="1"/>
    <x v="0"/>
    <s v="South Africa"/>
    <s v="119400 MT"/>
    <s v="B9"/>
    <x v="0"/>
    <x v="3"/>
    <n v="286500"/>
    <x v="2"/>
  </r>
  <r>
    <n v="227"/>
    <x v="226"/>
    <x v="3"/>
    <x v="0"/>
    <s v="Indonesia"/>
    <s v="48320 MT"/>
    <s v="B4"/>
    <x v="0"/>
    <x v="2"/>
    <n v="520500"/>
    <x v="2"/>
  </r>
  <r>
    <n v="228"/>
    <x v="227"/>
    <x v="12"/>
    <x v="3"/>
    <s v="China"/>
    <s v="34560 MT"/>
    <s v="B6"/>
    <x v="0"/>
    <x v="3"/>
    <n v="29000"/>
    <x v="0"/>
  </r>
  <r>
    <n v="229"/>
    <x v="228"/>
    <x v="9"/>
    <x v="5"/>
    <s v="Canada"/>
    <s v="28580 MT"/>
    <s v="B2"/>
    <x v="2"/>
    <x v="0"/>
    <n v="42000"/>
    <x v="2"/>
  </r>
  <r>
    <n v="230"/>
    <x v="229"/>
    <x v="9"/>
    <x v="5"/>
    <s v="Canada"/>
    <s v="62280 MT"/>
    <s v="B8"/>
    <x v="0"/>
    <x v="2"/>
    <n v="35000"/>
    <x v="3"/>
  </r>
  <r>
    <n v="231"/>
    <x v="230"/>
    <x v="6"/>
    <x v="3"/>
    <s v="Japan"/>
    <s v="46020 MT"/>
    <s v="B10"/>
    <x v="0"/>
    <x v="4"/>
    <n v="11500"/>
    <x v="2"/>
  </r>
  <r>
    <n v="232"/>
    <x v="231"/>
    <x v="16"/>
    <x v="1"/>
    <s v="Iraq"/>
    <s v="82780 MT"/>
    <s v="B3"/>
    <x v="0"/>
    <x v="3"/>
    <n v="170000"/>
    <x v="1"/>
  </r>
  <r>
    <n v="233"/>
    <x v="232"/>
    <x v="3"/>
    <x v="0"/>
    <s v="South Africa"/>
    <s v="29280 MT"/>
    <s v="B5"/>
    <x v="1"/>
    <x v="2"/>
    <n v="570000"/>
    <x v="0"/>
  </r>
  <r>
    <n v="234"/>
    <x v="233"/>
    <x v="11"/>
    <x v="3"/>
    <s v="USA"/>
    <s v="38860 MT"/>
    <s v="B7"/>
    <x v="0"/>
    <x v="3"/>
    <n v="339500"/>
    <x v="2"/>
  </r>
  <r>
    <n v="235"/>
    <x v="234"/>
    <x v="16"/>
    <x v="1"/>
    <s v="Iraq"/>
    <s v="70380 MT"/>
    <s v="B11"/>
    <x v="0"/>
    <x v="2"/>
    <n v="134000"/>
    <x v="0"/>
  </r>
  <r>
    <n v="236"/>
    <x v="235"/>
    <x v="17"/>
    <x v="0"/>
    <s v="Indonesia"/>
    <s v="23580 MT"/>
    <s v="B1"/>
    <x v="1"/>
    <x v="2"/>
    <n v="668000"/>
    <x v="1"/>
  </r>
  <r>
    <n v="237"/>
    <x v="236"/>
    <x v="19"/>
    <x v="1"/>
    <s v="Kuwait"/>
    <s v="42540 MT"/>
    <s v="B9"/>
    <x v="1"/>
    <x v="1"/>
    <n v="153000"/>
    <x v="2"/>
  </r>
  <r>
    <n v="238"/>
    <x v="237"/>
    <x v="19"/>
    <x v="1"/>
    <s v="Iraq"/>
    <s v="109800 MT"/>
    <s v="B4"/>
    <x v="0"/>
    <x v="3"/>
    <n v="89000"/>
    <x v="2"/>
  </r>
  <r>
    <n v="239"/>
    <x v="238"/>
    <x v="20"/>
    <x v="1"/>
    <s v="Kuwait"/>
    <s v="52840 MT"/>
    <s v="B6"/>
    <x v="0"/>
    <x v="3"/>
    <n v="72500"/>
    <x v="1"/>
  </r>
  <r>
    <n v="240"/>
    <x v="239"/>
    <x v="13"/>
    <x v="2"/>
    <s v="Russia"/>
    <s v="36140 MT"/>
    <s v="B2"/>
    <x v="0"/>
    <x v="3"/>
    <n v="113000"/>
    <x v="2"/>
  </r>
  <r>
    <n v="241"/>
    <x v="240"/>
    <x v="8"/>
    <x v="1"/>
    <s v="Iraq"/>
    <s v="27880 MT"/>
    <s v="B8"/>
    <x v="0"/>
    <x v="0"/>
    <n v="133000"/>
    <x v="0"/>
  </r>
  <r>
    <n v="242"/>
    <x v="241"/>
    <x v="7"/>
    <x v="4"/>
    <s v="Qatar"/>
    <s v="59820 MT"/>
    <s v="B10"/>
    <x v="0"/>
    <x v="3"/>
    <n v="451000"/>
    <x v="2"/>
  </r>
  <r>
    <n v="243"/>
    <x v="242"/>
    <x v="14"/>
    <x v="3"/>
    <s v="Singapore"/>
    <s v="44080 MT"/>
    <s v="B12"/>
    <x v="2"/>
    <x v="1"/>
    <n v="341000"/>
    <x v="2"/>
  </r>
  <r>
    <n v="244"/>
    <x v="243"/>
    <x v="12"/>
    <x v="3"/>
    <s v="Japan"/>
    <s v="78680 MT"/>
    <s v="B3"/>
    <x v="2"/>
    <x v="3"/>
    <n v="233000"/>
    <x v="2"/>
  </r>
  <r>
    <n v="245"/>
    <x v="244"/>
    <x v="8"/>
    <x v="1"/>
    <s v="UAE"/>
    <s v="31040 MT"/>
    <s v="B5"/>
    <x v="1"/>
    <x v="1"/>
    <n v="39500"/>
    <x v="2"/>
  </r>
  <r>
    <n v="246"/>
    <x v="245"/>
    <x v="13"/>
    <x v="2"/>
    <s v="Canada"/>
    <s v="39380 MT"/>
    <s v="B7"/>
    <x v="0"/>
    <x v="3"/>
    <n v="96500"/>
    <x v="3"/>
  </r>
  <r>
    <n v="247"/>
    <x v="246"/>
    <x v="9"/>
    <x v="5"/>
    <s v="South Africa"/>
    <s v="96400 MT"/>
    <s v="B1"/>
    <x v="0"/>
    <x v="3"/>
    <n v="38000"/>
    <x v="2"/>
  </r>
  <r>
    <n v="248"/>
    <x v="247"/>
    <x v="5"/>
    <x v="2"/>
    <s v="Jordan"/>
    <s v="53720 MT"/>
    <s v="B9"/>
    <x v="0"/>
    <x v="3"/>
    <n v="49500"/>
    <x v="2"/>
  </r>
  <r>
    <n v="249"/>
    <x v="248"/>
    <x v="9"/>
    <x v="5"/>
    <s v="Australia"/>
    <s v="26480 MT"/>
    <s v="B11"/>
    <x v="2"/>
    <x v="3"/>
    <n v="174000"/>
    <x v="0"/>
  </r>
  <r>
    <n v="250"/>
    <x v="249"/>
    <x v="8"/>
    <x v="1"/>
    <s v="Iraq"/>
    <s v="67920 MT"/>
    <s v="B4"/>
    <x v="0"/>
    <x v="4"/>
    <n v="15500"/>
    <x v="2"/>
  </r>
  <r>
    <n v="251"/>
    <x v="250"/>
    <x v="19"/>
    <x v="1"/>
    <s v="Kuwait"/>
    <s v="48740 MT"/>
    <s v="B6"/>
    <x v="2"/>
    <x v="0"/>
    <n v="66000"/>
    <x v="2"/>
  </r>
  <r>
    <n v="252"/>
    <x v="251"/>
    <x v="6"/>
    <x v="3"/>
    <s v="USA"/>
    <s v="84980 MT"/>
    <s v="B2"/>
    <x v="0"/>
    <x v="2"/>
    <n v="317000"/>
    <x v="2"/>
  </r>
  <r>
    <n v="253"/>
    <x v="252"/>
    <x v="12"/>
    <x v="3"/>
    <s v="China"/>
    <s v="29980 MT"/>
    <s v="B8"/>
    <x v="2"/>
    <x v="3"/>
    <n v="165500"/>
    <x v="2"/>
  </r>
  <r>
    <n v="254"/>
    <x v="253"/>
    <x v="6"/>
    <x v="3"/>
    <s v="Japan"/>
    <s v="37360 MT"/>
    <s v="B10"/>
    <x v="1"/>
    <x v="2"/>
    <n v="597500"/>
    <x v="2"/>
  </r>
  <r>
    <n v="255"/>
    <x v="254"/>
    <x v="7"/>
    <x v="4"/>
    <s v="UAE"/>
    <s v="73280 MT"/>
    <s v="B3"/>
    <x v="2"/>
    <x v="3"/>
    <n v="14500"/>
    <x v="0"/>
  </r>
  <r>
    <n v="256"/>
    <x v="255"/>
    <x v="12"/>
    <x v="3"/>
    <s v="Germany"/>
    <s v="24840 MT"/>
    <s v="B5"/>
    <x v="0"/>
    <x v="3"/>
    <n v="35000"/>
    <x v="0"/>
  </r>
  <r>
    <n v="257"/>
    <x v="256"/>
    <x v="6"/>
    <x v="3"/>
    <s v="USA"/>
    <s v="40680 MT"/>
    <s v="B7"/>
    <x v="1"/>
    <x v="3"/>
    <n v="83000"/>
    <x v="2"/>
  </r>
  <r>
    <n v="258"/>
    <x v="257"/>
    <x v="15"/>
    <x v="0"/>
    <s v="Russia"/>
    <s v="123600 MT"/>
    <s v="B12"/>
    <x v="1"/>
    <x v="1"/>
    <n v="45500"/>
    <x v="2"/>
  </r>
  <r>
    <n v="259"/>
    <x v="258"/>
    <x v="20"/>
    <x v="1"/>
    <s v="Kuwait"/>
    <s v="47120 MT"/>
    <s v="B1"/>
    <x v="2"/>
    <x v="3"/>
    <n v="727000"/>
    <x v="0"/>
  </r>
  <r>
    <n v="260"/>
    <x v="259"/>
    <x v="12"/>
    <x v="3"/>
    <s v="USA"/>
    <s v="34040 MT"/>
    <s v="B9"/>
    <x v="2"/>
    <x v="3"/>
    <n v="668000"/>
    <x v="0"/>
  </r>
  <r>
    <n v="261"/>
    <x v="260"/>
    <x v="4"/>
    <x v="1"/>
    <s v="Iraq"/>
    <s v="28280 MT"/>
    <s v="B4"/>
    <x v="2"/>
    <x v="0"/>
    <n v="423500"/>
    <x v="2"/>
  </r>
  <r>
    <n v="262"/>
    <x v="261"/>
    <x v="8"/>
    <x v="1"/>
    <s v="UAE"/>
    <s v="61780 MT"/>
    <s v="B6"/>
    <x v="0"/>
    <x v="1"/>
    <n v="16000"/>
    <x v="0"/>
  </r>
  <r>
    <n v="263"/>
    <x v="262"/>
    <x v="9"/>
    <x v="5"/>
    <s v="Brazil"/>
    <s v="45460 MT"/>
    <s v="B2"/>
    <x v="1"/>
    <x v="1"/>
    <n v="124000"/>
    <x v="2"/>
  </r>
  <r>
    <n v="264"/>
    <x v="263"/>
    <x v="10"/>
    <x v="5"/>
    <s v="Brazil"/>
    <s v="80980 MT"/>
    <s v="B8"/>
    <x v="1"/>
    <x v="4"/>
    <n v="25000"/>
    <x v="0"/>
  </r>
  <r>
    <n v="265"/>
    <x v="264"/>
    <x v="17"/>
    <x v="0"/>
    <s v="USA"/>
    <s v="29320 MT"/>
    <s v="B10"/>
    <x v="1"/>
    <x v="4"/>
    <n v="693500"/>
    <x v="2"/>
  </r>
  <r>
    <n v="266"/>
    <x v="265"/>
    <x v="21"/>
    <x v="3"/>
    <s v="USA"/>
    <s v="39080 MT"/>
    <s v="B3"/>
    <x v="1"/>
    <x v="4"/>
    <n v="44500"/>
    <x v="0"/>
  </r>
  <r>
    <n v="267"/>
    <x v="266"/>
    <x v="7"/>
    <x v="4"/>
    <s v="Kuwait"/>
    <s v="71940 MT"/>
    <s v="B5"/>
    <x v="1"/>
    <x v="3"/>
    <n v="65500"/>
    <x v="0"/>
  </r>
  <r>
    <n v="268"/>
    <x v="267"/>
    <x v="1"/>
    <x v="0"/>
    <s v="USA"/>
    <s v="23280 MT"/>
    <s v="B7"/>
    <x v="1"/>
    <x v="3"/>
    <n v="28500"/>
    <x v="2"/>
  </r>
  <r>
    <n v="269"/>
    <x v="268"/>
    <x v="4"/>
    <x v="1"/>
    <s v="Kuwait"/>
    <s v="42280 MT"/>
    <s v="B11"/>
    <x v="2"/>
    <x v="3"/>
    <n v="53500"/>
    <x v="2"/>
  </r>
  <r>
    <n v="270"/>
    <x v="269"/>
    <x v="5"/>
    <x v="2"/>
    <s v="Russia"/>
    <s v="112200 MT"/>
    <s v="B1"/>
    <x v="0"/>
    <x v="3"/>
    <n v="5500"/>
    <x v="2"/>
  </r>
  <r>
    <n v="271"/>
    <x v="270"/>
    <x v="1"/>
    <x v="0"/>
    <s v="South Africa"/>
    <s v="51960 MT"/>
    <s v="B9"/>
    <x v="2"/>
    <x v="3"/>
    <n v="336000"/>
    <x v="2"/>
  </r>
  <r>
    <n v="272"/>
    <x v="271"/>
    <x v="8"/>
    <x v="1"/>
    <s v="Iraq"/>
    <s v="36680 MT"/>
    <s v="B4"/>
    <x v="0"/>
    <x v="2"/>
    <n v="28500"/>
    <x v="2"/>
  </r>
  <r>
    <n v="273"/>
    <x v="272"/>
    <x v="16"/>
    <x v="1"/>
    <s v="Saudi Arabia"/>
    <s v="27780 MT"/>
    <s v="B6"/>
    <x v="1"/>
    <x v="1"/>
    <n v="261000"/>
    <x v="2"/>
  </r>
  <r>
    <n v="274"/>
    <x v="273"/>
    <x v="15"/>
    <x v="0"/>
    <s v="Australia"/>
    <s v="60340 MT"/>
    <s v="B2"/>
    <x v="2"/>
    <x v="1"/>
    <n v="49000"/>
    <x v="0"/>
  </r>
  <r>
    <n v="275"/>
    <x v="274"/>
    <x v="14"/>
    <x v="3"/>
    <s v="Germany"/>
    <s v="44380 MT"/>
    <s v="B8"/>
    <x v="1"/>
    <x v="4"/>
    <n v="269000"/>
    <x v="2"/>
  </r>
  <r>
    <n v="276"/>
    <x v="275"/>
    <x v="13"/>
    <x v="2"/>
    <s v="Canada"/>
    <s v="77560 MT"/>
    <s v="B10"/>
    <x v="0"/>
    <x v="1"/>
    <n v="16500"/>
    <x v="1"/>
  </r>
  <r>
    <n v="277"/>
    <x v="276"/>
    <x v="19"/>
    <x v="1"/>
    <s v="Iraq"/>
    <s v="30840 MT"/>
    <s v="B12"/>
    <x v="0"/>
    <x v="1"/>
    <n v="299000"/>
    <x v="2"/>
  </r>
  <r>
    <n v="278"/>
    <x v="277"/>
    <x v="17"/>
    <x v="0"/>
    <s v="Russia"/>
    <s v="39560 MT"/>
    <s v="B3"/>
    <x v="0"/>
    <x v="3"/>
    <n v="5000"/>
    <x v="3"/>
  </r>
  <r>
    <n v="279"/>
    <x v="278"/>
    <x v="3"/>
    <x v="0"/>
    <s v="Indonesia"/>
    <s v="95280 MT"/>
    <s v="B5"/>
    <x v="2"/>
    <x v="2"/>
    <n v="44500"/>
    <x v="2"/>
  </r>
  <r>
    <n v="280"/>
    <x v="279"/>
    <x v="5"/>
    <x v="2"/>
    <s v="Morocco"/>
    <s v="54040 MT"/>
    <s v="B7"/>
    <x v="2"/>
    <x v="1"/>
    <n v="94000"/>
    <x v="2"/>
  </r>
  <r>
    <n v="281"/>
    <x v="280"/>
    <x v="3"/>
    <x v="0"/>
    <s v="South Africa"/>
    <s v="26080 MT"/>
    <s v="B1"/>
    <x v="2"/>
    <x v="3"/>
    <n v="21500"/>
    <x v="1"/>
  </r>
  <r>
    <n v="282"/>
    <x v="281"/>
    <x v="15"/>
    <x v="0"/>
    <s v="South Africa"/>
    <s v="66740 MT"/>
    <s v="B9"/>
    <x v="0"/>
    <x v="2"/>
    <n v="260500"/>
    <x v="2"/>
  </r>
  <r>
    <n v="283"/>
    <x v="282"/>
    <x v="4"/>
    <x v="1"/>
    <s v="Iran"/>
    <s v="48080 MT"/>
    <s v="B11"/>
    <x v="2"/>
    <x v="2"/>
    <n v="132000"/>
    <x v="3"/>
  </r>
  <r>
    <n v="284"/>
    <x v="283"/>
    <x v="5"/>
    <x v="2"/>
    <s v="Canada"/>
    <s v="85720 MT"/>
    <s v="B4"/>
    <x v="0"/>
    <x v="2"/>
    <n v="73000"/>
    <x v="0"/>
  </r>
  <r>
    <n v="285"/>
    <x v="284"/>
    <x v="11"/>
    <x v="3"/>
    <s v="Germany"/>
    <s v="30040 MT"/>
    <s v="B6"/>
    <x v="0"/>
    <x v="4"/>
    <n v="122000"/>
    <x v="2"/>
  </r>
  <r>
    <n v="286"/>
    <x v="285"/>
    <x v="4"/>
    <x v="1"/>
    <s v="UAE"/>
    <s v="37140 MT"/>
    <s v="B2"/>
    <x v="0"/>
    <x v="2"/>
    <n v="598000"/>
    <x v="2"/>
  </r>
  <r>
    <n v="287"/>
    <x v="286"/>
    <x v="9"/>
    <x v="5"/>
    <s v="Brazil"/>
    <s v="72680 MT"/>
    <s v="B8"/>
    <x v="1"/>
    <x v="2"/>
    <n v="225000"/>
    <x v="0"/>
  </r>
  <r>
    <n v="288"/>
    <x v="287"/>
    <x v="4"/>
    <x v="1"/>
    <s v="Iraq"/>
    <s v="24680 MT"/>
    <s v="B10"/>
    <x v="1"/>
    <x v="0"/>
    <n v="14500"/>
    <x v="2"/>
  </r>
  <r>
    <n v="289"/>
    <x v="288"/>
    <x v="17"/>
    <x v="0"/>
    <s v="USA"/>
    <s v="41020 MT"/>
    <s v="B3"/>
    <x v="2"/>
    <x v="4"/>
    <n v="9500"/>
    <x v="3"/>
  </r>
  <r>
    <n v="290"/>
    <x v="289"/>
    <x v="9"/>
    <x v="5"/>
    <s v="Canada"/>
    <s v="116800 MT"/>
    <s v="B5"/>
    <x v="1"/>
    <x v="2"/>
    <n v="25000"/>
    <x v="2"/>
  </r>
  <r>
    <n v="291"/>
    <x v="290"/>
    <x v="9"/>
    <x v="5"/>
    <s v="Brazil"/>
    <s v="47820 MT"/>
    <s v="B7"/>
    <x v="2"/>
    <x v="0"/>
    <n v="449500"/>
    <x v="2"/>
  </r>
  <r>
    <n v="292"/>
    <x v="291"/>
    <x v="4"/>
    <x v="1"/>
    <s v="Saudi Arabia"/>
    <s v="34340 MT"/>
    <s v="B12"/>
    <x v="2"/>
    <x v="0"/>
    <n v="133500"/>
    <x v="1"/>
  </r>
  <r>
    <n v="293"/>
    <x v="292"/>
    <x v="8"/>
    <x v="1"/>
    <s v="Saudi Arabia"/>
    <s v="28420 MT"/>
    <s v="B1"/>
    <x v="1"/>
    <x v="2"/>
    <n v="174500"/>
    <x v="3"/>
  </r>
  <r>
    <n v="294"/>
    <x v="293"/>
    <x v="5"/>
    <x v="2"/>
    <s v="Canada"/>
    <s v="62640 MT"/>
    <s v="B9"/>
    <x v="2"/>
    <x v="3"/>
    <n v="26000"/>
    <x v="2"/>
  </r>
  <r>
    <n v="295"/>
    <x v="294"/>
    <x v="17"/>
    <x v="0"/>
    <s v="Russia"/>
    <s v="45840 MT"/>
    <s v="B4"/>
    <x v="0"/>
    <x v="1"/>
    <n v="421000"/>
    <x v="0"/>
  </r>
  <r>
    <n v="296"/>
    <x v="295"/>
    <x v="9"/>
    <x v="5"/>
    <s v="Canada"/>
    <s v="81820 MT"/>
    <s v="B6"/>
    <x v="0"/>
    <x v="0"/>
    <n v="19500"/>
    <x v="2"/>
  </r>
  <r>
    <n v="297"/>
    <x v="296"/>
    <x v="18"/>
    <x v="2"/>
    <s v="Jordan"/>
    <s v="29420 MT"/>
    <s v="B2"/>
    <x v="0"/>
    <x v="3"/>
    <n v="424000"/>
    <x v="0"/>
  </r>
  <r>
    <n v="298"/>
    <x v="297"/>
    <x v="13"/>
    <x v="2"/>
    <s v="Russia"/>
    <s v="38780 MT"/>
    <s v="B8"/>
    <x v="2"/>
    <x v="4"/>
    <n v="556000"/>
    <x v="1"/>
  </r>
  <r>
    <n v="299"/>
    <x v="298"/>
    <x v="21"/>
    <x v="3"/>
    <s v="Singapore"/>
    <s v="70960 MT"/>
    <s v="B10"/>
    <x v="0"/>
    <x v="1"/>
    <n v="87500"/>
    <x v="2"/>
  </r>
  <r>
    <n v="300"/>
    <x v="299"/>
    <x v="15"/>
    <x v="0"/>
    <s v="Indonesia"/>
    <s v="23420 MT"/>
    <s v="B3"/>
    <x v="1"/>
    <x v="4"/>
    <n v="24000"/>
    <x v="0"/>
  </r>
  <r>
    <n v="301"/>
    <x v="300"/>
    <x v="3"/>
    <x v="0"/>
    <s v="South Africa"/>
    <s v="41940 MT"/>
    <s v="B5"/>
    <x v="2"/>
    <x v="4"/>
    <n v="30000"/>
    <x v="2"/>
  </r>
  <r>
    <n v="302"/>
    <x v="301"/>
    <x v="13"/>
    <x v="2"/>
    <s v="Russia"/>
    <s v="108300 MT"/>
    <s v="B7"/>
    <x v="1"/>
    <x v="0"/>
    <n v="481000"/>
    <x v="3"/>
  </r>
  <r>
    <n v="303"/>
    <x v="302"/>
    <x v="14"/>
    <x v="3"/>
    <s v="Germany"/>
    <s v="52380 MT"/>
    <s v="B11"/>
    <x v="0"/>
    <x v="1"/>
    <n v="434500"/>
    <x v="2"/>
  </r>
  <r>
    <n v="304"/>
    <x v="303"/>
    <x v="1"/>
    <x v="0"/>
    <s v="Indonesia"/>
    <s v="36380 MT"/>
    <s v="B1"/>
    <x v="0"/>
    <x v="0"/>
    <n v="19000"/>
    <x v="0"/>
  </r>
  <r>
    <n v="305"/>
    <x v="304"/>
    <x v="12"/>
    <x v="3"/>
    <s v="Germany"/>
    <s v="27920 MT"/>
    <s v="B9"/>
    <x v="0"/>
    <x v="3"/>
    <n v="11000"/>
    <x v="3"/>
  </r>
  <r>
    <n v="306"/>
    <x v="305"/>
    <x v="17"/>
    <x v="0"/>
    <s v="USA"/>
    <s v="59440 MT"/>
    <s v="B4"/>
    <x v="0"/>
    <x v="1"/>
    <n v="196500"/>
    <x v="2"/>
  </r>
  <r>
    <n v="307"/>
    <x v="306"/>
    <x v="1"/>
    <x v="0"/>
    <s v="Australia"/>
    <s v="43780 MT"/>
    <s v="B6"/>
    <x v="0"/>
    <x v="1"/>
    <n v="658500"/>
    <x v="2"/>
  </r>
  <r>
    <n v="308"/>
    <x v="307"/>
    <x v="1"/>
    <x v="0"/>
    <s v="South Africa"/>
    <s v="78280 MT"/>
    <s v="B2"/>
    <x v="2"/>
    <x v="3"/>
    <n v="65500"/>
    <x v="0"/>
  </r>
  <r>
    <n v="309"/>
    <x v="308"/>
    <x v="11"/>
    <x v="3"/>
    <s v="China"/>
    <s v="30580 MT"/>
    <s v="B8"/>
    <x v="2"/>
    <x v="0"/>
    <n v="22000"/>
    <x v="2"/>
  </r>
  <r>
    <n v="310"/>
    <x v="309"/>
    <x v="14"/>
    <x v="3"/>
    <s v="USA"/>
    <s v="39720 MT"/>
    <s v="B10"/>
    <x v="2"/>
    <x v="2"/>
    <n v="20500"/>
    <x v="2"/>
  </r>
  <r>
    <n v="311"/>
    <x v="310"/>
    <x v="7"/>
    <x v="4"/>
    <s v="Saudi Arabia"/>
    <s v="97120 MT"/>
    <s v="B12"/>
    <x v="2"/>
    <x v="3"/>
    <n v="222500"/>
    <x v="0"/>
  </r>
  <r>
    <n v="312"/>
    <x v="311"/>
    <x v="15"/>
    <x v="0"/>
    <s v="South Africa"/>
    <s v="54580 MT"/>
    <s v="B3"/>
    <x v="2"/>
    <x v="0"/>
    <n v="49000"/>
    <x v="2"/>
  </r>
  <r>
    <n v="313"/>
    <x v="312"/>
    <x v="11"/>
    <x v="3"/>
    <s v="Germany"/>
    <s v="25840 MT"/>
    <s v="B5"/>
    <x v="0"/>
    <x v="3"/>
    <n v="353000"/>
    <x v="3"/>
  </r>
  <r>
    <n v="314"/>
    <x v="313"/>
    <x v="20"/>
    <x v="1"/>
    <s v="UAE"/>
    <s v="67180 MT"/>
    <s v="B7"/>
    <x v="0"/>
    <x v="1"/>
    <n v="326500"/>
    <x v="0"/>
  </r>
  <r>
    <n v="315"/>
    <x v="314"/>
    <x v="17"/>
    <x v="0"/>
    <s v="Russia"/>
    <s v="48620 MT"/>
    <s v="B1"/>
    <x v="1"/>
    <x v="3"/>
    <n v="36500"/>
    <x v="3"/>
  </r>
  <r>
    <n v="316"/>
    <x v="315"/>
    <x v="16"/>
    <x v="1"/>
    <s v="Kuwait"/>
    <s v="84680 MT"/>
    <s v="B9"/>
    <x v="0"/>
    <x v="3"/>
    <n v="366000"/>
    <x v="0"/>
  </r>
  <r>
    <n v="317"/>
    <x v="316"/>
    <x v="18"/>
    <x v="2"/>
    <s v="Russia"/>
    <s v="29860 MT"/>
    <s v="B11"/>
    <x v="2"/>
    <x v="4"/>
    <n v="539500"/>
    <x v="2"/>
  </r>
  <r>
    <n v="318"/>
    <x v="317"/>
    <x v="13"/>
    <x v="2"/>
    <s v="Morocco"/>
    <s v="37680 MT"/>
    <s v="B4"/>
    <x v="1"/>
    <x v="1"/>
    <n v="140500"/>
    <x v="2"/>
  </r>
  <r>
    <n v="319"/>
    <x v="318"/>
    <x v="3"/>
    <x v="0"/>
    <s v="Indonesia"/>
    <s v="73940 MT"/>
    <s v="B6"/>
    <x v="1"/>
    <x v="0"/>
    <n v="33000"/>
    <x v="2"/>
  </r>
  <r>
    <n v="320"/>
    <x v="319"/>
    <x v="12"/>
    <x v="3"/>
    <s v="Japan"/>
    <s v="25240 MT"/>
    <s v="B2"/>
    <x v="0"/>
    <x v="4"/>
    <n v="188500"/>
    <x v="2"/>
  </r>
  <r>
    <n v="321"/>
    <x v="320"/>
    <x v="12"/>
    <x v="3"/>
    <s v="China"/>
    <s v="40420 MT"/>
    <s v="B8"/>
    <x v="1"/>
    <x v="3"/>
    <n v="664500"/>
    <x v="1"/>
  </r>
  <r>
    <n v="322"/>
    <x v="321"/>
    <x v="4"/>
    <x v="1"/>
    <s v="Iran"/>
    <s v="120600 MT"/>
    <s v="B10"/>
    <x v="1"/>
    <x v="3"/>
    <n v="12000"/>
    <x v="3"/>
  </r>
  <r>
    <n v="323"/>
    <x v="322"/>
    <x v="17"/>
    <x v="0"/>
    <s v="USA"/>
    <s v="47480 MT"/>
    <s v="B3"/>
    <x v="0"/>
    <x v="1"/>
    <n v="320000"/>
    <x v="0"/>
  </r>
  <r>
    <n v="324"/>
    <x v="323"/>
    <x v="13"/>
    <x v="2"/>
    <s v="China"/>
    <s v="33780 MT"/>
    <s v="B5"/>
    <x v="1"/>
    <x v="0"/>
    <n v="382500"/>
    <x v="2"/>
  </r>
  <r>
    <n v="325"/>
    <x v="324"/>
    <x v="21"/>
    <x v="3"/>
    <s v="Japan"/>
    <s v="28640 MT"/>
    <s v="B7"/>
    <x v="2"/>
    <x v="3"/>
    <n v="16500"/>
    <x v="2"/>
  </r>
  <r>
    <n v="326"/>
    <x v="325"/>
    <x v="12"/>
    <x v="3"/>
    <s v="Japan"/>
    <s v="62120 MT"/>
    <s v="B12"/>
    <x v="1"/>
    <x v="3"/>
    <n v="789500"/>
    <x v="0"/>
  </r>
  <r>
    <n v="327"/>
    <x v="326"/>
    <x v="10"/>
    <x v="5"/>
    <s v="Brazil"/>
    <s v="45240 MT"/>
    <s v="B1"/>
    <x v="0"/>
    <x v="4"/>
    <n v="97500"/>
    <x v="0"/>
  </r>
  <r>
    <n v="328"/>
    <x v="327"/>
    <x v="11"/>
    <x v="3"/>
    <s v="Japan"/>
    <s v="80360 MT"/>
    <s v="B9"/>
    <x v="2"/>
    <x v="3"/>
    <n v="210500"/>
    <x v="0"/>
  </r>
  <r>
    <n v="329"/>
    <x v="328"/>
    <x v="15"/>
    <x v="0"/>
    <s v="South Africa"/>
    <s v="29180 MT"/>
    <s v="B4"/>
    <x v="2"/>
    <x v="1"/>
    <n v="62000"/>
    <x v="2"/>
  </r>
  <r>
    <n v="330"/>
    <x v="329"/>
    <x v="21"/>
    <x v="3"/>
    <s v="Germany"/>
    <s v="38620 MT"/>
    <s v="B6"/>
    <x v="0"/>
    <x v="4"/>
    <n v="380500"/>
    <x v="2"/>
  </r>
  <r>
    <n v="331"/>
    <x v="330"/>
    <x v="10"/>
    <x v="5"/>
    <s v="Australia"/>
    <s v="71740 MT"/>
    <s v="B2"/>
    <x v="1"/>
    <x v="0"/>
    <n v="13000"/>
    <x v="3"/>
  </r>
  <r>
    <n v="332"/>
    <x v="331"/>
    <x v="7"/>
    <x v="4"/>
    <s v="Saudi Arabia"/>
    <s v="23720 MT"/>
    <s v="B8"/>
    <x v="0"/>
    <x v="4"/>
    <n v="27000"/>
    <x v="3"/>
  </r>
  <r>
    <n v="333"/>
    <x v="332"/>
    <x v="20"/>
    <x v="1"/>
    <s v="Kuwait"/>
    <s v="42480 MT"/>
    <s v="B10"/>
    <x v="0"/>
    <x v="0"/>
    <n v="254500"/>
    <x v="2"/>
  </r>
  <r>
    <n v="334"/>
    <x v="333"/>
    <x v="4"/>
    <x v="1"/>
    <s v="Saudi Arabia"/>
    <s v="111300 MT"/>
    <s v="B3"/>
    <x v="1"/>
    <x v="0"/>
    <n v="107000"/>
    <x v="2"/>
  </r>
  <r>
    <n v="335"/>
    <x v="334"/>
    <x v="11"/>
    <x v="3"/>
    <s v="USA"/>
    <s v="52580 MT"/>
    <s v="B5"/>
    <x v="2"/>
    <x v="1"/>
    <n v="405000"/>
    <x v="0"/>
  </r>
  <r>
    <n v="336"/>
    <x v="335"/>
    <x v="6"/>
    <x v="3"/>
    <s v="USA"/>
    <s v="36540 MT"/>
    <s v="B7"/>
    <x v="0"/>
    <x v="3"/>
    <n v="92000"/>
    <x v="3"/>
  </r>
  <r>
    <n v="337"/>
    <x v="336"/>
    <x v="11"/>
    <x v="3"/>
    <s v="USA"/>
    <s v="27820 MT"/>
    <s v="B11"/>
    <x v="2"/>
    <x v="1"/>
    <n v="12000"/>
    <x v="2"/>
  </r>
  <r>
    <n v="338"/>
    <x v="337"/>
    <x v="19"/>
    <x v="1"/>
    <s v="UAE"/>
    <s v="60120 MT"/>
    <s v="B1"/>
    <x v="2"/>
    <x v="4"/>
    <n v="6500"/>
    <x v="2"/>
  </r>
  <r>
    <n v="339"/>
    <x v="338"/>
    <x v="18"/>
    <x v="2"/>
    <s v="Jordan"/>
    <s v="44240 MT"/>
    <s v="B9"/>
    <x v="0"/>
    <x v="3"/>
    <n v="80500"/>
    <x v="1"/>
  </r>
  <r>
    <n v="340"/>
    <x v="339"/>
    <x v="4"/>
    <x v="1"/>
    <s v="Saudi Arabia"/>
    <s v="79180 MT"/>
    <s v="B4"/>
    <x v="0"/>
    <x v="4"/>
    <n v="24000"/>
    <x v="2"/>
  </r>
  <r>
    <n v="341"/>
    <x v="340"/>
    <x v="11"/>
    <x v="3"/>
    <s v="Japan"/>
    <s v="30920 MT"/>
    <s v="B6"/>
    <x v="1"/>
    <x v="1"/>
    <n v="57500"/>
    <x v="3"/>
  </r>
  <r>
    <n v="342"/>
    <x v="341"/>
    <x v="4"/>
    <x v="1"/>
    <s v="Saudi Arabia"/>
    <s v="39920 MT"/>
    <s v="B2"/>
    <x v="2"/>
    <x v="4"/>
    <n v="157500"/>
    <x v="2"/>
  </r>
  <r>
    <n v="343"/>
    <x v="342"/>
    <x v="17"/>
    <x v="0"/>
    <s v="Australia"/>
    <s v="94480 MT"/>
    <s v="B8"/>
    <x v="1"/>
    <x v="0"/>
    <n v="19000"/>
    <x v="2"/>
  </r>
  <r>
    <n v="344"/>
    <x v="343"/>
    <x v="10"/>
    <x v="5"/>
    <s v="Brazil"/>
    <s v="53640 MT"/>
    <s v="B10"/>
    <x v="0"/>
    <x v="3"/>
    <n v="73500"/>
    <x v="2"/>
  </r>
  <r>
    <n v="345"/>
    <x v="344"/>
    <x v="4"/>
    <x v="1"/>
    <s v="Iraq"/>
    <s v="26320 MT"/>
    <s v="B12"/>
    <x v="0"/>
    <x v="1"/>
    <n v="30500"/>
    <x v="2"/>
  </r>
  <r>
    <n v="346"/>
    <x v="345"/>
    <x v="3"/>
    <x v="0"/>
    <s v="Indonesia"/>
    <s v="67620 MT"/>
    <s v="B3"/>
    <x v="0"/>
    <x v="1"/>
    <n v="174000"/>
    <x v="1"/>
  </r>
  <r>
    <n v="347"/>
    <x v="346"/>
    <x v="5"/>
    <x v="2"/>
    <s v="Russia"/>
    <s v="48160 MT"/>
    <s v="B5"/>
    <x v="1"/>
    <x v="3"/>
    <n v="7500"/>
    <x v="2"/>
  </r>
  <r>
    <n v="348"/>
    <x v="347"/>
    <x v="3"/>
    <x v="0"/>
    <s v="Australia"/>
    <s v="85240 MT"/>
    <s v="B7"/>
    <x v="1"/>
    <x v="3"/>
    <n v="55000"/>
    <x v="0"/>
  </r>
  <r>
    <n v="349"/>
    <x v="348"/>
    <x v="21"/>
    <x v="3"/>
    <s v="Germany"/>
    <s v="30020 MT"/>
    <s v="B1"/>
    <x v="1"/>
    <x v="3"/>
    <n v="158500"/>
    <x v="2"/>
  </r>
  <r>
    <n v="350"/>
    <x v="349"/>
    <x v="11"/>
    <x v="3"/>
    <s v="China"/>
    <s v="37420 MT"/>
    <s v="B9"/>
    <x v="0"/>
    <x v="3"/>
    <n v="319500"/>
    <x v="3"/>
  </r>
  <r>
    <n v="351"/>
    <x v="350"/>
    <x v="17"/>
    <x v="0"/>
    <s v="South Africa"/>
    <s v="74480 MT"/>
    <s v="B11"/>
    <x v="2"/>
    <x v="4"/>
    <n v="171000"/>
    <x v="3"/>
  </r>
  <r>
    <n v="352"/>
    <x v="351"/>
    <x v="9"/>
    <x v="5"/>
    <s v="Australia"/>
    <s v="25040 MT"/>
    <s v="B4"/>
    <x v="2"/>
    <x v="4"/>
    <n v="239000"/>
    <x v="2"/>
  </r>
  <r>
    <n v="353"/>
    <x v="352"/>
    <x v="7"/>
    <x v="4"/>
    <s v="Kuwait"/>
    <s v="40780 MT"/>
    <s v="B6"/>
    <x v="1"/>
    <x v="2"/>
    <n v="195000"/>
    <x v="3"/>
  </r>
  <r>
    <n v="354"/>
    <x v="353"/>
    <x v="11"/>
    <x v="3"/>
    <s v="Singapore"/>
    <s v="118500 MT"/>
    <s v="B2"/>
    <x v="0"/>
    <x v="1"/>
    <n v="409000"/>
    <x v="3"/>
  </r>
  <r>
    <n v="355"/>
    <x v="354"/>
    <x v="13"/>
    <x v="2"/>
    <s v="Russia"/>
    <s v="46920 MT"/>
    <s v="B8"/>
    <x v="2"/>
    <x v="3"/>
    <n v="389500"/>
    <x v="2"/>
  </r>
  <r>
    <n v="356"/>
    <x v="355"/>
    <x v="4"/>
    <x v="1"/>
    <s v="UAE"/>
    <s v="34120 MT"/>
    <s v="B10"/>
    <x v="1"/>
    <x v="4"/>
    <n v="27500"/>
    <x v="3"/>
  </r>
  <r>
    <n v="357"/>
    <x v="356"/>
    <x v="5"/>
    <x v="2"/>
    <s v="Russia"/>
    <s v="28380 MT"/>
    <s v="B3"/>
    <x v="2"/>
    <x v="1"/>
    <n v="312000"/>
    <x v="2"/>
  </r>
  <r>
    <n v="358"/>
    <x v="357"/>
    <x v="9"/>
    <x v="5"/>
    <s v="Canada"/>
    <s v="61580 MT"/>
    <s v="B5"/>
    <x v="1"/>
    <x v="1"/>
    <n v="6000"/>
    <x v="2"/>
  </r>
  <r>
    <n v="359"/>
    <x v="358"/>
    <x v="9"/>
    <x v="5"/>
    <s v="Canada"/>
    <s v="45640 MT"/>
    <s v="B7"/>
    <x v="0"/>
    <x v="3"/>
    <n v="427500"/>
    <x v="0"/>
  </r>
  <r>
    <n v="360"/>
    <x v="359"/>
    <x v="7"/>
    <x v="4"/>
    <s v="Kuwait"/>
    <s v="81420 MT"/>
    <s v="B12"/>
    <x v="0"/>
    <x v="1"/>
    <n v="48500"/>
    <x v="1"/>
  </r>
  <r>
    <n v="361"/>
    <x v="360"/>
    <x v="6"/>
    <x v="3"/>
    <s v="China"/>
    <s v="29360 MT"/>
    <s v="B1"/>
    <x v="1"/>
    <x v="3"/>
    <n v="137500"/>
    <x v="2"/>
  </r>
  <r>
    <n v="362"/>
    <x v="361"/>
    <x v="20"/>
    <x v="1"/>
    <s v="Kuwait"/>
    <s v="39140 MT"/>
    <s v="B9"/>
    <x v="2"/>
    <x v="3"/>
    <n v="518500"/>
    <x v="2"/>
  </r>
  <r>
    <n v="363"/>
    <x v="362"/>
    <x v="4"/>
    <x v="1"/>
    <s v="Iraq"/>
    <s v="70680 MT"/>
    <s v="B4"/>
    <x v="0"/>
    <x v="1"/>
    <n v="131000"/>
    <x v="1"/>
  </r>
  <r>
    <n v="364"/>
    <x v="363"/>
    <x v="17"/>
    <x v="0"/>
    <s v="South Africa"/>
    <s v="23640 MT"/>
    <s v="B6"/>
    <x v="2"/>
    <x v="1"/>
    <n v="489000"/>
    <x v="0"/>
  </r>
  <r>
    <n v="365"/>
    <x v="364"/>
    <x v="18"/>
    <x v="2"/>
    <s v="Canada"/>
    <s v="42120 MT"/>
    <s v="B2"/>
    <x v="0"/>
    <x v="1"/>
    <n v="40500"/>
    <x v="2"/>
  </r>
  <r>
    <n v="366"/>
    <x v="365"/>
    <x v="8"/>
    <x v="1"/>
    <s v="UAE"/>
    <s v="109200 MT"/>
    <s v="B8"/>
    <x v="0"/>
    <x v="0"/>
    <n v="215000"/>
    <x v="2"/>
  </r>
  <r>
    <n v="367"/>
    <x v="366"/>
    <x v="13"/>
    <x v="2"/>
    <s v="China"/>
    <s v="51720 MT"/>
    <s v="B10"/>
    <x v="2"/>
    <x v="3"/>
    <n v="151000"/>
    <x v="2"/>
  </r>
  <r>
    <n v="368"/>
    <x v="367"/>
    <x v="1"/>
    <x v="0"/>
    <s v="Australia"/>
    <s v="36280 MT"/>
    <s v="B3"/>
    <x v="0"/>
    <x v="4"/>
    <n v="16500"/>
    <x v="1"/>
  </r>
  <r>
    <n v="369"/>
    <x v="368"/>
    <x v="18"/>
    <x v="2"/>
    <s v="Russia"/>
    <s v="27740 MT"/>
    <s v="B5"/>
    <x v="2"/>
    <x v="1"/>
    <n v="10000"/>
    <x v="2"/>
  </r>
  <r>
    <n v="370"/>
    <x v="369"/>
    <x v="7"/>
    <x v="4"/>
    <s v="Saudi Arabia"/>
    <s v="59740 MT"/>
    <s v="B7"/>
    <x v="1"/>
    <x v="3"/>
    <n v="245000"/>
    <x v="2"/>
  </r>
  <r>
    <n v="371"/>
    <x v="370"/>
    <x v="7"/>
    <x v="4"/>
    <s v="Saudi Arabia"/>
    <s v="43920 MT"/>
    <s v="B11"/>
    <x v="1"/>
    <x v="0"/>
    <n v="321500"/>
    <x v="2"/>
  </r>
  <r>
    <n v="372"/>
    <x v="371"/>
    <x v="18"/>
    <x v="2"/>
    <s v="Jordan"/>
    <s v="77980 MT"/>
    <s v="B1"/>
    <x v="1"/>
    <x v="4"/>
    <n v="161500"/>
    <x v="1"/>
  </r>
  <r>
    <n v="373"/>
    <x v="372"/>
    <x v="12"/>
    <x v="3"/>
    <s v="USA"/>
    <s v="30720 MT"/>
    <s v="B9"/>
    <x v="2"/>
    <x v="3"/>
    <n v="360500"/>
    <x v="2"/>
  </r>
  <r>
    <n v="374"/>
    <x v="373"/>
    <x v="8"/>
    <x v="1"/>
    <s v="Saudi Arabia"/>
    <s v="39420 MT"/>
    <s v="B4"/>
    <x v="0"/>
    <x v="4"/>
    <n v="284500"/>
    <x v="2"/>
  </r>
  <r>
    <n v="375"/>
    <x v="374"/>
    <x v="16"/>
    <x v="1"/>
    <s v="Iraq"/>
    <s v="95840 MT"/>
    <s v="B6"/>
    <x v="2"/>
    <x v="4"/>
    <n v="232500"/>
    <x v="2"/>
  </r>
  <r>
    <n v="376"/>
    <x v="375"/>
    <x v="14"/>
    <x v="3"/>
    <s v="Japan"/>
    <s v="54220 MT"/>
    <s v="B2"/>
    <x v="0"/>
    <x v="3"/>
    <n v="235000"/>
    <x v="3"/>
  </r>
  <r>
    <n v="377"/>
    <x v="376"/>
    <x v="16"/>
    <x v="1"/>
    <s v="Iran"/>
    <s v="26180 MT"/>
    <s v="B8"/>
    <x v="2"/>
    <x v="0"/>
    <n v="430500"/>
    <x v="0"/>
  </r>
  <r>
    <n v="378"/>
    <x v="377"/>
    <x v="12"/>
    <x v="3"/>
    <s v="China"/>
    <s v="66580 MT"/>
    <s v="B10"/>
    <x v="2"/>
    <x v="0"/>
    <n v="81000"/>
    <x v="0"/>
  </r>
  <r>
    <n v="379"/>
    <x v="378"/>
    <x v="18"/>
    <x v="2"/>
    <s v="Morocco"/>
    <s v="48420 MT"/>
    <s v="B12"/>
    <x v="0"/>
    <x v="3"/>
    <n v="46500"/>
    <x v="0"/>
  </r>
  <r>
    <n v="380"/>
    <x v="379"/>
    <x v="4"/>
    <x v="1"/>
    <s v="Iraq"/>
    <s v="85940 MT"/>
    <s v="B3"/>
    <x v="0"/>
    <x v="1"/>
    <n v="356500"/>
    <x v="1"/>
  </r>
  <r>
    <n v="381"/>
    <x v="380"/>
    <x v="14"/>
    <x v="3"/>
    <s v="Japan"/>
    <s v="29920 MT"/>
    <s v="B5"/>
    <x v="1"/>
    <x v="2"/>
    <n v="405500"/>
    <x v="2"/>
  </r>
  <r>
    <n v="382"/>
    <x v="381"/>
    <x v="20"/>
    <x v="1"/>
    <s v="Iraq"/>
    <s v="37280 MT"/>
    <s v="B7"/>
    <x v="0"/>
    <x v="3"/>
    <n v="796500"/>
    <x v="2"/>
  </r>
  <r>
    <n v="383"/>
    <x v="382"/>
    <x v="5"/>
    <x v="2"/>
    <s v="Canada"/>
    <s v="72960 MT"/>
    <s v="B1"/>
    <x v="1"/>
    <x v="4"/>
    <n v="414500"/>
    <x v="2"/>
  </r>
  <r>
    <n v="384"/>
    <x v="383"/>
    <x v="7"/>
    <x v="4"/>
    <s v="UAE"/>
    <s v="24920 MT"/>
    <s v="B9"/>
    <x v="0"/>
    <x v="2"/>
    <n v="99000"/>
    <x v="2"/>
  </r>
  <r>
    <n v="385"/>
    <x v="384"/>
    <x v="10"/>
    <x v="5"/>
    <s v="Brazil"/>
    <s v="40940 MT"/>
    <s v="B11"/>
    <x v="0"/>
    <x v="3"/>
    <n v="43000"/>
    <x v="0"/>
  </r>
  <r>
    <n v="386"/>
    <x v="385"/>
    <x v="12"/>
    <x v="3"/>
    <s v="USA"/>
    <s v="117100 MT"/>
    <s v="B4"/>
    <x v="1"/>
    <x v="2"/>
    <n v="751500"/>
    <x v="2"/>
  </r>
  <r>
    <n v="387"/>
    <x v="386"/>
    <x v="7"/>
    <x v="4"/>
    <s v="Qatar"/>
    <s v="47520 MT"/>
    <s v="B6"/>
    <x v="1"/>
    <x v="3"/>
    <n v="64000"/>
    <x v="3"/>
  </r>
  <r>
    <n v="388"/>
    <x v="387"/>
    <x v="6"/>
    <x v="3"/>
    <s v="China"/>
    <s v="34280 MT"/>
    <s v="B2"/>
    <x v="0"/>
    <x v="1"/>
    <n v="80000"/>
    <x v="2"/>
  </r>
  <r>
    <n v="389"/>
    <x v="388"/>
    <x v="5"/>
    <x v="2"/>
    <s v="Russia"/>
    <s v="28480 MT"/>
    <s v="B8"/>
    <x v="1"/>
    <x v="3"/>
    <n v="46000"/>
    <x v="2"/>
  </r>
  <r>
    <n v="390"/>
    <x v="389"/>
    <x v="1"/>
    <x v="0"/>
    <s v="South Africa"/>
    <s v="62040 MT"/>
    <s v="B10"/>
    <x v="2"/>
    <x v="2"/>
    <n v="438500"/>
    <x v="0"/>
  </r>
  <r>
    <n v="391"/>
    <x v="390"/>
    <x v="15"/>
    <x v="0"/>
    <s v="Australia"/>
    <s v="45520 MT"/>
    <s v="B3"/>
    <x v="0"/>
    <x v="3"/>
    <n v="71500"/>
    <x v="1"/>
  </r>
  <r>
    <n v="392"/>
    <x v="391"/>
    <x v="8"/>
    <x v="1"/>
    <s v="Iraq"/>
    <s v="80740 MT"/>
    <s v="B5"/>
    <x v="0"/>
    <x v="3"/>
    <n v="86500"/>
    <x v="0"/>
  </r>
  <r>
    <n v="393"/>
    <x v="392"/>
    <x v="15"/>
    <x v="0"/>
    <s v="South Africa"/>
    <s v="29220 MT"/>
    <s v="B7"/>
    <x v="2"/>
    <x v="3"/>
    <n v="82500"/>
    <x v="2"/>
  </r>
  <r>
    <n v="394"/>
    <x v="393"/>
    <x v="1"/>
    <x v="0"/>
    <s v="Indonesia"/>
    <s v="38820 MT"/>
    <s v="B12"/>
    <x v="0"/>
    <x v="4"/>
    <n v="126500"/>
    <x v="3"/>
  </r>
  <r>
    <n v="395"/>
    <x v="394"/>
    <x v="21"/>
    <x v="3"/>
    <s v="Japan"/>
    <s v="71280 MT"/>
    <s v="B1"/>
    <x v="1"/>
    <x v="3"/>
    <n v="76500"/>
    <x v="2"/>
  </r>
  <r>
    <n v="396"/>
    <x v="395"/>
    <x v="1"/>
    <x v="0"/>
    <s v="USA"/>
    <s v="23320 MT"/>
    <s v="B9"/>
    <x v="1"/>
    <x v="3"/>
    <n v="207500"/>
    <x v="2"/>
  </r>
  <r>
    <n v="397"/>
    <x v="396"/>
    <x v="15"/>
    <x v="0"/>
    <s v="Australia"/>
    <s v="42720 MT"/>
    <s v="B4"/>
    <x v="0"/>
    <x v="4"/>
    <n v="214500"/>
    <x v="0"/>
  </r>
  <r>
    <n v="398"/>
    <x v="397"/>
    <x v="20"/>
    <x v="1"/>
    <s v="Saudi Arabia"/>
    <s v="113100 MT"/>
    <s v="B6"/>
    <x v="1"/>
    <x v="4"/>
    <n v="619500"/>
    <x v="0"/>
  </r>
  <r>
    <n v="399"/>
    <x v="398"/>
    <x v="10"/>
    <x v="5"/>
    <s v="South Africa"/>
    <s v="52080 MT"/>
    <s v="B2"/>
    <x v="0"/>
    <x v="1"/>
    <n v="572500"/>
    <x v="2"/>
  </r>
  <r>
    <n v="400"/>
    <x v="399"/>
    <x v="7"/>
    <x v="4"/>
    <s v="Kuwait"/>
    <s v="36480 MT"/>
    <s v="B8"/>
    <x v="2"/>
    <x v="0"/>
    <n v="237000"/>
    <x v="2"/>
  </r>
  <r>
    <n v="401"/>
    <x v="400"/>
    <x v="7"/>
    <x v="4"/>
    <s v="Qatar"/>
    <s v="28080 MT"/>
    <s v="B10"/>
    <x v="2"/>
    <x v="0"/>
    <n v="42000"/>
    <x v="2"/>
  </r>
  <r>
    <n v="402"/>
    <x v="401"/>
    <x v="1"/>
    <x v="0"/>
    <s v="Australia"/>
    <s v="60640 MT"/>
    <s v="B3"/>
    <x v="0"/>
    <x v="4"/>
    <n v="162500"/>
    <x v="3"/>
  </r>
  <r>
    <n v="403"/>
    <x v="402"/>
    <x v="6"/>
    <x v="3"/>
    <s v="Singapore"/>
    <s v="44420 MT"/>
    <s v="B5"/>
    <x v="0"/>
    <x v="4"/>
    <n v="140000"/>
    <x v="3"/>
  </r>
  <r>
    <n v="404"/>
    <x v="403"/>
    <x v="3"/>
    <x v="0"/>
    <s v="Russia"/>
    <s v="78840 MT"/>
    <s v="B7"/>
    <x v="1"/>
    <x v="3"/>
    <n v="16000"/>
    <x v="2"/>
  </r>
  <r>
    <n v="405"/>
    <x v="404"/>
    <x v="14"/>
    <x v="3"/>
    <s v="Singapore"/>
    <s v="31180 MT"/>
    <s v="B11"/>
    <x v="1"/>
    <x v="1"/>
    <n v="242000"/>
    <x v="2"/>
  </r>
  <r>
    <n v="406"/>
    <x v="405"/>
    <x v="10"/>
    <x v="5"/>
    <s v="Australia"/>
    <s v="39620 MT"/>
    <s v="B1"/>
    <x v="1"/>
    <x v="0"/>
    <n v="21500"/>
    <x v="2"/>
  </r>
  <r>
    <n v="407"/>
    <x v="406"/>
    <x v="1"/>
    <x v="0"/>
    <s v="Australia"/>
    <s v="96980 MT"/>
    <s v="B9"/>
    <x v="2"/>
    <x v="2"/>
    <n v="11000"/>
    <x v="2"/>
  </r>
  <r>
    <n v="408"/>
    <x v="407"/>
    <x v="20"/>
    <x v="1"/>
    <s v="UAE"/>
    <s v="53880 MT"/>
    <s v="B4"/>
    <x v="2"/>
    <x v="3"/>
    <n v="41000"/>
    <x v="0"/>
  </r>
  <r>
    <n v="409"/>
    <x v="408"/>
    <x v="5"/>
    <x v="2"/>
    <s v="Canada"/>
    <s v="26280 MT"/>
    <s v="B6"/>
    <x v="1"/>
    <x v="0"/>
    <n v="138000"/>
    <x v="2"/>
  </r>
  <r>
    <n v="410"/>
    <x v="409"/>
    <x v="19"/>
    <x v="1"/>
    <s v="Iran"/>
    <s v="67320 MT"/>
    <s v="B2"/>
    <x v="0"/>
    <x v="0"/>
    <n v="233500"/>
    <x v="2"/>
  </r>
  <r>
    <n v="411"/>
    <x v="410"/>
    <x v="15"/>
    <x v="0"/>
    <s v="South Africa"/>
    <s v="48840 MT"/>
    <s v="B8"/>
    <x v="0"/>
    <x v="0"/>
    <n v="21500"/>
    <x v="1"/>
  </r>
  <r>
    <n v="412"/>
    <x v="411"/>
    <x v="5"/>
    <x v="2"/>
    <s v="Morocco"/>
    <s v="84780 MT"/>
    <s v="B10"/>
    <x v="1"/>
    <x v="4"/>
    <n v="6500"/>
    <x v="2"/>
  </r>
  <r>
    <n v="413"/>
    <x v="412"/>
    <x v="14"/>
    <x v="3"/>
    <s v="China"/>
    <s v="30060 MT"/>
    <s v="B12"/>
    <x v="0"/>
    <x v="3"/>
    <n v="642000"/>
    <x v="0"/>
  </r>
  <r>
    <n v="414"/>
    <x v="413"/>
    <x v="19"/>
    <x v="1"/>
    <s v="Iraq"/>
    <s v="37380 MT"/>
    <s v="B3"/>
    <x v="0"/>
    <x v="0"/>
    <n v="73000"/>
    <x v="3"/>
  </r>
  <r>
    <n v="415"/>
    <x v="414"/>
    <x v="4"/>
    <x v="1"/>
    <s v="Kuwait"/>
    <s v="73580 MT"/>
    <s v="B5"/>
    <x v="1"/>
    <x v="2"/>
    <n v="124500"/>
    <x v="1"/>
  </r>
  <r>
    <n v="416"/>
    <x v="415"/>
    <x v="7"/>
    <x v="4"/>
    <s v="Qatar"/>
    <s v="24740 MT"/>
    <s v="B7"/>
    <x v="2"/>
    <x v="0"/>
    <n v="27500"/>
    <x v="3"/>
  </r>
  <r>
    <n v="417"/>
    <x v="416"/>
    <x v="6"/>
    <x v="3"/>
    <s v="Japan"/>
    <s v="40580 MT"/>
    <s v="B1"/>
    <x v="0"/>
    <x v="0"/>
    <n v="102500"/>
    <x v="2"/>
  </r>
  <r>
    <n v="418"/>
    <x v="417"/>
    <x v="4"/>
    <x v="1"/>
    <s v="UAE"/>
    <s v="124800 MT"/>
    <s v="B9"/>
    <x v="2"/>
    <x v="4"/>
    <n v="33500"/>
    <x v="0"/>
  </r>
  <r>
    <n v="419"/>
    <x v="418"/>
    <x v="10"/>
    <x v="5"/>
    <s v="Canada"/>
    <s v="47040 MT"/>
    <s v="B11"/>
    <x v="1"/>
    <x v="4"/>
    <n v="10000"/>
    <x v="3"/>
  </r>
  <r>
    <n v="420"/>
    <x v="419"/>
    <x v="11"/>
    <x v="3"/>
    <s v="USA"/>
    <s v="33920 MT"/>
    <s v="B4"/>
    <x v="1"/>
    <x v="3"/>
    <n v="25500"/>
    <x v="0"/>
  </r>
  <r>
    <n v="421"/>
    <x v="420"/>
    <x v="6"/>
    <x v="3"/>
    <s v="Singapore"/>
    <s v="28540 MT"/>
    <s v="B6"/>
    <x v="2"/>
    <x v="1"/>
    <n v="99000"/>
    <x v="1"/>
  </r>
  <r>
    <n v="422"/>
    <x v="421"/>
    <x v="14"/>
    <x v="3"/>
    <s v="USA"/>
    <s v="61820 MT"/>
    <s v="B2"/>
    <x v="2"/>
    <x v="3"/>
    <n v="169500"/>
    <x v="2"/>
  </r>
  <r>
    <n v="423"/>
    <x v="422"/>
    <x v="15"/>
    <x v="0"/>
    <s v="Russia"/>
    <s v="45320 MT"/>
    <s v="B8"/>
    <x v="2"/>
    <x v="3"/>
    <n v="22500"/>
    <x v="1"/>
  </r>
  <r>
    <n v="424"/>
    <x v="423"/>
    <x v="4"/>
    <x v="1"/>
    <s v="Iran"/>
    <s v="79940 MT"/>
    <s v="B10"/>
    <x v="2"/>
    <x v="0"/>
    <n v="496500"/>
    <x v="2"/>
  </r>
  <r>
    <n v="425"/>
    <x v="424"/>
    <x v="11"/>
    <x v="3"/>
    <s v="USA"/>
    <s v="29080 MT"/>
    <s v="B3"/>
    <x v="0"/>
    <x v="3"/>
    <n v="447000"/>
    <x v="2"/>
  </r>
  <r>
    <n v="426"/>
    <x v="425"/>
    <x v="20"/>
    <x v="1"/>
    <s v="UAE"/>
    <s v="38980 MT"/>
    <s v="B5"/>
    <x v="0"/>
    <x v="4"/>
    <n v="89000"/>
    <x v="2"/>
  </r>
  <r>
    <n v="427"/>
    <x v="426"/>
    <x v="19"/>
    <x v="1"/>
    <s v="Saudi Arabia"/>
    <s v="72060 MT"/>
    <s v="B7"/>
    <x v="2"/>
    <x v="2"/>
    <n v="228000"/>
    <x v="0"/>
  </r>
  <r>
    <n v="428"/>
    <x v="427"/>
    <x v="7"/>
    <x v="4"/>
    <s v="Saudi Arabia"/>
    <s v="23840 MT"/>
    <s v="B12"/>
    <x v="1"/>
    <x v="3"/>
    <n v="160000"/>
    <x v="2"/>
  </r>
  <r>
    <n v="429"/>
    <x v="428"/>
    <x v="16"/>
    <x v="1"/>
    <s v="Iraq"/>
    <s v="42320 MT"/>
    <s v="B1"/>
    <x v="0"/>
    <x v="3"/>
    <n v="8500"/>
    <x v="2"/>
  </r>
  <r>
    <n v="430"/>
    <x v="429"/>
    <x v="12"/>
    <x v="3"/>
    <s v="Singapore"/>
    <s v="108700 MT"/>
    <s v="B9"/>
    <x v="1"/>
    <x v="0"/>
    <n v="79500"/>
    <x v="1"/>
  </r>
  <r>
    <n v="431"/>
    <x v="430"/>
    <x v="7"/>
    <x v="4"/>
    <s v="Kuwait"/>
    <s v="52280 MT"/>
    <s v="B4"/>
    <x v="2"/>
    <x v="3"/>
    <n v="53500"/>
    <x v="0"/>
  </r>
  <r>
    <n v="432"/>
    <x v="431"/>
    <x v="6"/>
    <x v="3"/>
    <s v="China"/>
    <s v="36180 MT"/>
    <s v="B6"/>
    <x v="2"/>
    <x v="3"/>
    <n v="34000"/>
    <x v="2"/>
  </r>
  <r>
    <n v="433"/>
    <x v="432"/>
    <x v="18"/>
    <x v="2"/>
    <s v="China"/>
    <s v="27980 MT"/>
    <s v="B2"/>
    <x v="1"/>
    <x v="1"/>
    <n v="49000"/>
    <x v="3"/>
  </r>
  <r>
    <n v="434"/>
    <x v="433"/>
    <x v="15"/>
    <x v="0"/>
    <s v="USA"/>
    <s v="59280 MT"/>
    <s v="B8"/>
    <x v="0"/>
    <x v="2"/>
    <n v="121000"/>
    <x v="3"/>
  </r>
  <r>
    <n v="435"/>
    <x v="434"/>
    <x v="9"/>
    <x v="5"/>
    <s v="Australia"/>
    <s v="44120 MT"/>
    <s v="B10"/>
    <x v="2"/>
    <x v="3"/>
    <n v="299000"/>
    <x v="2"/>
  </r>
  <r>
    <n v="436"/>
    <x v="435"/>
    <x v="1"/>
    <x v="0"/>
    <s v="South Africa"/>
    <s v="77480 MT"/>
    <s v="B3"/>
    <x v="1"/>
    <x v="3"/>
    <n v="43500"/>
    <x v="0"/>
  </r>
  <r>
    <n v="437"/>
    <x v="436"/>
    <x v="3"/>
    <x v="0"/>
    <s v="South Africa"/>
    <s v="30680 MT"/>
    <s v="B5"/>
    <x v="0"/>
    <x v="3"/>
    <n v="58500"/>
    <x v="3"/>
  </r>
  <r>
    <n v="438"/>
    <x v="437"/>
    <x v="8"/>
    <x v="1"/>
    <s v="UAE"/>
    <s v="39840 MT"/>
    <s v="B7"/>
    <x v="0"/>
    <x v="1"/>
    <n v="146000"/>
    <x v="2"/>
  </r>
  <r>
    <n v="439"/>
    <x v="438"/>
    <x v="3"/>
    <x v="0"/>
    <s v="Australia"/>
    <s v="95380 MT"/>
    <s v="B11"/>
    <x v="2"/>
    <x v="2"/>
    <n v="32000"/>
    <x v="0"/>
  </r>
  <r>
    <n v="440"/>
    <x v="439"/>
    <x v="16"/>
    <x v="1"/>
    <s v="Iran"/>
    <s v="54440 MT"/>
    <s v="B1"/>
    <x v="2"/>
    <x v="0"/>
    <n v="17500"/>
    <x v="0"/>
  </r>
  <r>
    <n v="441"/>
    <x v="440"/>
    <x v="6"/>
    <x v="3"/>
    <s v="Singapore"/>
    <s v="25940 MT"/>
    <s v="B9"/>
    <x v="0"/>
    <x v="0"/>
    <n v="12500"/>
    <x v="0"/>
  </r>
  <r>
    <n v="442"/>
    <x v="441"/>
    <x v="17"/>
    <x v="0"/>
    <s v="Australia"/>
    <s v="66880 MT"/>
    <s v="B4"/>
    <x v="1"/>
    <x v="1"/>
    <n v="54000"/>
    <x v="0"/>
  </r>
  <r>
    <n v="443"/>
    <x v="442"/>
    <x v="10"/>
    <x v="5"/>
    <s v="Australia"/>
    <s v="47980 MT"/>
    <s v="B6"/>
    <x v="2"/>
    <x v="1"/>
    <n v="164000"/>
    <x v="0"/>
  </r>
  <r>
    <n v="444"/>
    <x v="443"/>
    <x v="13"/>
    <x v="2"/>
    <s v="Morocco"/>
    <s v="85560 MT"/>
    <s v="B2"/>
    <x v="0"/>
    <x v="3"/>
    <n v="169500"/>
    <x v="0"/>
  </r>
  <r>
    <n v="445"/>
    <x v="444"/>
    <x v="8"/>
    <x v="1"/>
    <s v="Saudi Arabia"/>
    <s v="29880 MT"/>
    <s v="B8"/>
    <x v="1"/>
    <x v="0"/>
    <n v="68000"/>
    <x v="2"/>
  </r>
  <r>
    <n v="446"/>
    <x v="445"/>
    <x v="4"/>
    <x v="1"/>
    <s v="Iran"/>
    <s v="37120 MT"/>
    <s v="B10"/>
    <x v="0"/>
    <x v="1"/>
    <n v="364500"/>
    <x v="2"/>
  </r>
  <r>
    <n v="447"/>
    <x v="446"/>
    <x v="18"/>
    <x v="2"/>
    <s v="Morocco"/>
    <s v="72780 MT"/>
    <s v="B12"/>
    <x v="2"/>
    <x v="3"/>
    <n v="172500"/>
    <x v="1"/>
  </r>
  <r>
    <n v="448"/>
    <x v="447"/>
    <x v="5"/>
    <x v="2"/>
    <s v="Canada"/>
    <s v="24620 MT"/>
    <s v="B3"/>
    <x v="0"/>
    <x v="2"/>
    <n v="203500"/>
    <x v="1"/>
  </r>
  <r>
    <n v="449"/>
    <x v="448"/>
    <x v="3"/>
    <x v="0"/>
    <s v="USA"/>
    <s v="41080 MT"/>
    <s v="B5"/>
    <x v="1"/>
    <x v="3"/>
    <n v="86500"/>
    <x v="2"/>
  </r>
  <r>
    <n v="450"/>
    <x v="449"/>
    <x v="15"/>
    <x v="0"/>
    <s v="Australia"/>
    <s v="116200 MT"/>
    <s v="B7"/>
    <x v="0"/>
    <x v="3"/>
    <n v="687000"/>
    <x v="2"/>
  </r>
  <r>
    <n v="451"/>
    <x v="450"/>
    <x v="11"/>
    <x v="3"/>
    <s v="Singapore"/>
    <s v="47680 MT"/>
    <s v="B1"/>
    <x v="0"/>
    <x v="3"/>
    <n v="489000"/>
    <x v="2"/>
  </r>
  <r>
    <n v="452"/>
    <x v="451"/>
    <x v="15"/>
    <x v="0"/>
    <s v="USA"/>
    <s v="34420 MT"/>
    <s v="B9"/>
    <x v="1"/>
    <x v="0"/>
    <n v="156500"/>
    <x v="2"/>
  </r>
  <r>
    <n v="453"/>
    <x v="452"/>
    <x v="16"/>
    <x v="1"/>
    <s v="UAE"/>
    <s v="28320 MT"/>
    <s v="B11"/>
    <x v="1"/>
    <x v="2"/>
    <n v="148500"/>
    <x v="2"/>
  </r>
  <r>
    <n v="454"/>
    <x v="453"/>
    <x v="16"/>
    <x v="1"/>
    <s v="UAE"/>
    <s v="62480 MT"/>
    <s v="B4"/>
    <x v="2"/>
    <x v="2"/>
    <n v="182000"/>
    <x v="0"/>
  </r>
  <r>
    <n v="455"/>
    <x v="454"/>
    <x v="19"/>
    <x v="1"/>
    <s v="Iran"/>
    <s v="45920 MT"/>
    <s v="B6"/>
    <x v="2"/>
    <x v="0"/>
    <n v="92500"/>
    <x v="3"/>
  </r>
  <r>
    <n v="456"/>
    <x v="455"/>
    <x v="10"/>
    <x v="5"/>
    <s v="Australia"/>
    <s v="82040 MT"/>
    <s v="B2"/>
    <x v="1"/>
    <x v="1"/>
    <n v="65000"/>
    <x v="2"/>
  </r>
  <r>
    <n v="457"/>
    <x v="456"/>
    <x v="17"/>
    <x v="0"/>
    <s v="Australia"/>
    <s v="29380 MT"/>
    <s v="B8"/>
    <x v="1"/>
    <x v="3"/>
    <n v="123500"/>
    <x v="2"/>
  </r>
  <r>
    <n v="458"/>
    <x v="457"/>
    <x v="7"/>
    <x v="4"/>
    <s v="UAE"/>
    <s v="39020 MT"/>
    <s v="B10"/>
    <x v="0"/>
    <x v="4"/>
    <n v="32000"/>
    <x v="3"/>
  </r>
  <r>
    <n v="459"/>
    <x v="458"/>
    <x v="8"/>
    <x v="1"/>
    <s v="Saudi Arabia"/>
    <s v="70760 MT"/>
    <s v="B3"/>
    <x v="0"/>
    <x v="0"/>
    <n v="52000"/>
    <x v="0"/>
  </r>
  <r>
    <n v="460"/>
    <x v="459"/>
    <x v="14"/>
    <x v="3"/>
    <s v="USA"/>
    <s v="23520 MT"/>
    <s v="B5"/>
    <x v="0"/>
    <x v="0"/>
    <n v="38000"/>
    <x v="2"/>
  </r>
  <r>
    <n v="461"/>
    <x v="460"/>
    <x v="8"/>
    <x v="1"/>
    <s v="UAE"/>
    <s v="41880 MT"/>
    <s v="B7"/>
    <x v="2"/>
    <x v="1"/>
    <n v="279000"/>
    <x v="0"/>
  </r>
  <r>
    <n v="462"/>
    <x v="461"/>
    <x v="10"/>
    <x v="5"/>
    <s v="South Africa"/>
    <s v="110400 MT"/>
    <s v="B12"/>
    <x v="2"/>
    <x v="0"/>
    <n v="286000"/>
    <x v="0"/>
  </r>
  <r>
    <n v="463"/>
    <x v="462"/>
    <x v="19"/>
    <x v="1"/>
    <s v="Iran"/>
    <s v="51840 MT"/>
    <s v="B1"/>
    <x v="2"/>
    <x v="3"/>
    <n v="46000"/>
    <x v="2"/>
  </r>
  <r>
    <n v="464"/>
    <x v="463"/>
    <x v="6"/>
    <x v="3"/>
    <s v="Singapore"/>
    <s v="36620 MT"/>
    <s v="B9"/>
    <x v="2"/>
    <x v="0"/>
    <n v="86500"/>
    <x v="1"/>
  </r>
  <r>
    <n v="465"/>
    <x v="464"/>
    <x v="5"/>
    <x v="2"/>
    <s v="Jordan"/>
    <s v="27640 MT"/>
    <s v="B4"/>
    <x v="1"/>
    <x v="3"/>
    <n v="173000"/>
    <x v="2"/>
  </r>
  <r>
    <n v="466"/>
    <x v="465"/>
    <x v="12"/>
    <x v="3"/>
    <s v="Singapore"/>
    <s v="59980 MT"/>
    <s v="B6"/>
    <x v="2"/>
    <x v="3"/>
    <n v="28500"/>
    <x v="2"/>
  </r>
  <r>
    <n v="467"/>
    <x v="466"/>
    <x v="7"/>
    <x v="4"/>
    <s v="Saudi Arabia"/>
    <s v="43820 MT"/>
    <s v="B2"/>
    <x v="1"/>
    <x v="3"/>
    <n v="44000"/>
    <x v="3"/>
  </r>
  <r>
    <n v="468"/>
    <x v="467"/>
    <x v="18"/>
    <x v="2"/>
    <s v="Canada"/>
    <s v="78360 MT"/>
    <s v="B8"/>
    <x v="2"/>
    <x v="4"/>
    <n v="98000"/>
    <x v="2"/>
  </r>
  <r>
    <n v="469"/>
    <x v="468"/>
    <x v="19"/>
    <x v="1"/>
    <s v="Kuwait"/>
    <s v="30820 MT"/>
    <s v="B10"/>
    <x v="2"/>
    <x v="4"/>
    <n v="68000"/>
    <x v="2"/>
  </r>
  <r>
    <n v="470"/>
    <x v="469"/>
    <x v="18"/>
    <x v="2"/>
    <s v="Canada"/>
    <s v="39520 MT"/>
    <s v="B3"/>
    <x v="0"/>
    <x v="4"/>
    <n v="36500"/>
    <x v="2"/>
  </r>
  <r>
    <n v="471"/>
    <x v="470"/>
    <x v="16"/>
    <x v="1"/>
    <s v="Saudi Arabia"/>
    <s v="94680 MT"/>
    <s v="B5"/>
    <x v="2"/>
    <x v="0"/>
    <n v="49000"/>
    <x v="3"/>
  </r>
  <r>
    <n v="472"/>
    <x v="471"/>
    <x v="16"/>
    <x v="1"/>
    <s v="Iraq"/>
    <s v="54120 MT"/>
    <s v="B7"/>
    <x v="0"/>
    <x v="2"/>
    <n v="213000"/>
    <x v="0"/>
  </r>
  <r>
    <n v="473"/>
    <x v="472"/>
    <x v="6"/>
    <x v="3"/>
    <s v="Germany"/>
    <s v="26420 MT"/>
    <s v="B11"/>
    <x v="1"/>
    <x v="1"/>
    <n v="43000"/>
    <x v="2"/>
  </r>
  <r>
    <n v="474"/>
    <x v="473"/>
    <x v="9"/>
    <x v="5"/>
    <s v="Brazil"/>
    <s v="67780 MT"/>
    <s v="B1"/>
    <x v="2"/>
    <x v="1"/>
    <n v="64500"/>
    <x v="2"/>
  </r>
  <r>
    <n v="475"/>
    <x v="474"/>
    <x v="20"/>
    <x v="1"/>
    <s v="Kuwait"/>
    <s v="48360 MT"/>
    <s v="B9"/>
    <x v="0"/>
    <x v="0"/>
    <n v="22500"/>
    <x v="2"/>
  </r>
  <r>
    <n v="476"/>
    <x v="475"/>
    <x v="7"/>
    <x v="4"/>
    <s v="Qatar"/>
    <s v="85020 MT"/>
    <s v="B4"/>
    <x v="0"/>
    <x v="1"/>
    <n v="469000"/>
    <x v="2"/>
  </r>
  <r>
    <n v="477"/>
    <x v="476"/>
    <x v="1"/>
    <x v="0"/>
    <s v="Indonesia"/>
    <s v="29960 MT"/>
    <s v="B6"/>
    <x v="0"/>
    <x v="3"/>
    <n v="227000"/>
    <x v="0"/>
  </r>
  <r>
    <n v="478"/>
    <x v="477"/>
    <x v="16"/>
    <x v="1"/>
    <s v="Iraq"/>
    <s v="37580 MT"/>
    <s v="B2"/>
    <x v="1"/>
    <x v="1"/>
    <n v="17000"/>
    <x v="2"/>
  </r>
  <r>
    <n v="479"/>
    <x v="478"/>
    <x v="10"/>
    <x v="5"/>
    <s v="Brazil"/>
    <s v="74120 MT"/>
    <s v="B8"/>
    <x v="0"/>
    <x v="0"/>
    <n v="125500"/>
    <x v="2"/>
  </r>
  <r>
    <n v="480"/>
    <x v="479"/>
    <x v="14"/>
    <x v="3"/>
    <s v="Germany"/>
    <s v="25120 MT"/>
    <s v="B10"/>
    <x v="2"/>
    <x v="0"/>
    <n v="539500"/>
    <x v="2"/>
  </r>
  <r>
    <n v="481"/>
    <x v="480"/>
    <x v="21"/>
    <x v="3"/>
    <s v="Singapore"/>
    <s v="40620 MT"/>
    <s v="B12"/>
    <x v="2"/>
    <x v="2"/>
    <n v="595500"/>
    <x v="0"/>
  </r>
  <r>
    <n v="482"/>
    <x v="481"/>
    <x v="8"/>
    <x v="1"/>
    <s v="Iran"/>
    <s v="119800 MT"/>
    <s v="B3"/>
    <x v="1"/>
    <x v="1"/>
    <n v="102500"/>
    <x v="2"/>
  </r>
  <r>
    <n v="483"/>
    <x v="482"/>
    <x v="11"/>
    <x v="3"/>
    <s v="Singapore"/>
    <s v="47380 MT"/>
    <s v="B5"/>
    <x v="1"/>
    <x v="3"/>
    <n v="87000"/>
    <x v="0"/>
  </r>
  <r>
    <n v="484"/>
    <x v="483"/>
    <x v="8"/>
    <x v="1"/>
    <s v="UAE"/>
    <s v="34080 MT"/>
    <s v="B7"/>
    <x v="2"/>
    <x v="1"/>
    <n v="367000"/>
    <x v="2"/>
  </r>
  <r>
    <n v="485"/>
    <x v="484"/>
    <x v="10"/>
    <x v="5"/>
    <s v="Canada"/>
    <s v="28240 MT"/>
    <s v="B1"/>
    <x v="1"/>
    <x v="2"/>
    <n v="19500"/>
    <x v="2"/>
  </r>
  <r>
    <n v="486"/>
    <x v="485"/>
    <x v="1"/>
    <x v="0"/>
    <s v="Indonesia"/>
    <s v="61640 MT"/>
    <s v="B9"/>
    <x v="2"/>
    <x v="0"/>
    <n v="36500"/>
    <x v="2"/>
  </r>
  <r>
    <n v="487"/>
    <x v="486"/>
    <x v="9"/>
    <x v="5"/>
    <s v="South Africa"/>
    <s v="45740 MT"/>
    <s v="B11"/>
    <x v="1"/>
    <x v="4"/>
    <n v="147500"/>
    <x v="2"/>
  </r>
  <r>
    <n v="488"/>
    <x v="487"/>
    <x v="10"/>
    <x v="5"/>
    <s v="Brazil"/>
    <s v="81080 MT"/>
    <s v="B4"/>
    <x v="0"/>
    <x v="2"/>
    <n v="584500"/>
    <x v="2"/>
  </r>
  <r>
    <n v="489"/>
    <x v="488"/>
    <x v="5"/>
    <x v="2"/>
    <s v="Canada"/>
    <s v="29480 MT"/>
    <s v="B6"/>
    <x v="1"/>
    <x v="1"/>
    <n v="43500"/>
    <x v="3"/>
  </r>
  <r>
    <n v="490"/>
    <x v="489"/>
    <x v="4"/>
    <x v="1"/>
    <s v="Iran"/>
    <s v="39280 MT"/>
    <s v="B2"/>
    <x v="0"/>
    <x v="3"/>
    <n v="231000"/>
    <x v="2"/>
  </r>
  <r>
    <n v="491"/>
    <x v="490"/>
    <x v="14"/>
    <x v="3"/>
    <s v="Japan"/>
    <s v="71820 MT"/>
    <s v="B8"/>
    <x v="0"/>
    <x v="2"/>
    <n v="143000"/>
    <x v="2"/>
  </r>
  <r>
    <n v="492"/>
    <x v="491"/>
    <x v="16"/>
    <x v="1"/>
    <s v="UAE"/>
    <s v="23240 MT"/>
    <s v="B10"/>
    <x v="2"/>
    <x v="4"/>
    <n v="33000"/>
    <x v="3"/>
  </r>
  <r>
    <n v="493"/>
    <x v="492"/>
    <x v="20"/>
    <x v="1"/>
    <s v="Kuwait"/>
    <s v="42240 MT"/>
    <s v="B3"/>
    <x v="2"/>
    <x v="3"/>
    <n v="335500"/>
    <x v="1"/>
  </r>
  <r>
    <n v="494"/>
    <x v="493"/>
    <x v="20"/>
    <x v="1"/>
    <s v="Iraq"/>
    <s v="111800 MT"/>
    <s v="B5"/>
    <x v="0"/>
    <x v="3"/>
    <n v="94500"/>
    <x v="2"/>
  </r>
  <r>
    <n v="495"/>
    <x v="494"/>
    <x v="20"/>
    <x v="1"/>
    <s v="Saudi Arabia"/>
    <s v="52680 MT"/>
    <s v="B7"/>
    <x v="2"/>
    <x v="0"/>
    <n v="98000"/>
    <x v="2"/>
  </r>
  <r>
    <n v="496"/>
    <x v="495"/>
    <x v="21"/>
    <x v="3"/>
    <s v="Germany"/>
    <s v="36320 MT"/>
    <s v="B12"/>
    <x v="0"/>
    <x v="3"/>
    <n v="435000"/>
    <x v="3"/>
  </r>
  <r>
    <n v="497"/>
    <x v="496"/>
    <x v="10"/>
    <x v="5"/>
    <s v="Brazil"/>
    <s v="27860 MT"/>
    <s v="B1"/>
    <x v="1"/>
    <x v="0"/>
    <n v="93500"/>
    <x v="2"/>
  </r>
  <r>
    <n v="498"/>
    <x v="497"/>
    <x v="10"/>
    <x v="5"/>
    <s v="South Africa"/>
    <s v="60480 MT"/>
    <s v="B9"/>
    <x v="2"/>
    <x v="1"/>
    <n v="713500"/>
    <x v="0"/>
  </r>
  <r>
    <n v="499"/>
    <x v="498"/>
    <x v="16"/>
    <x v="1"/>
    <s v="Kuwait"/>
    <s v="44520 MT"/>
    <s v="B4"/>
    <x v="1"/>
    <x v="0"/>
    <n v="151000"/>
    <x v="2"/>
  </r>
  <r>
    <n v="500"/>
    <x v="499"/>
    <x v="20"/>
    <x v="1"/>
    <s v="Iran"/>
    <s v="79280 MT"/>
    <s v="B6"/>
    <x v="2"/>
    <x v="4"/>
    <n v="175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FD5C4C-EF4A-284F-8FA4-FF19FD446886}" name="KPI 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pivotField showAll="0">
      <items count="7">
        <item h="1" x="0"/>
        <item h="1" x="3"/>
        <item x="1"/>
        <item h="1" x="2"/>
        <item h="1" x="5"/>
        <item h="1" x="4"/>
        <item t="default"/>
      </items>
    </pivotField>
    <pivotField showAll="0"/>
    <pivotField showAll="0"/>
    <pivotField showAll="0"/>
    <pivotField showAll="0"/>
    <pivotField showAll="0"/>
    <pivotField dataField="1" numFmtId="164"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Charges_INR"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62FB82-334A-714F-8791-A387299B7C5E}" name="KPI 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21"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pivotField showAll="0">
      <items count="7">
        <item h="1" x="0"/>
        <item h="1" x="3"/>
        <item x="1"/>
        <item h="1" x="2"/>
        <item h="1" x="5"/>
        <item h="1" x="4"/>
        <item t="default"/>
      </items>
    </pivotField>
    <pivotField showAll="0"/>
    <pivotField showAll="0"/>
    <pivotField showAll="0"/>
    <pivotField showAll="0"/>
    <pivotField showAll="0"/>
    <pivotField dataField="1" numFmtId="164" showAll="0"/>
    <pivotField axis="axisRow" showAll="0">
      <items count="5">
        <item x="3"/>
        <item h="1" x="2"/>
        <item h="1" x="1"/>
        <item h="1" x="0"/>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0"/>
    <field x="1"/>
  </rowFields>
  <rowItems count="13">
    <i>
      <x/>
    </i>
    <i r="1">
      <x v="1"/>
    </i>
    <i r="1">
      <x v="3"/>
    </i>
    <i r="1">
      <x v="4"/>
    </i>
    <i r="1">
      <x v="5"/>
    </i>
    <i r="1">
      <x v="6"/>
    </i>
    <i r="1">
      <x v="7"/>
    </i>
    <i r="1">
      <x v="8"/>
    </i>
    <i r="1">
      <x v="9"/>
    </i>
    <i r="1">
      <x v="10"/>
    </i>
    <i r="1">
      <x v="11"/>
    </i>
    <i r="1">
      <x v="12"/>
    </i>
    <i t="grand">
      <x/>
    </i>
  </rowItems>
  <colItems count="1">
    <i/>
  </colItems>
  <dataFields count="1">
    <dataField name="Sum of Charges_INR"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3D0707-13B8-1144-90A2-EB768B3463C1}"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22"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pivotField showAll="0">
      <items count="7">
        <item h="1" x="0"/>
        <item h="1" x="3"/>
        <item x="1"/>
        <item h="1" x="2"/>
        <item h="1" x="5"/>
        <item h="1" x="4"/>
        <item t="default"/>
      </items>
    </pivotField>
    <pivotField showAll="0"/>
    <pivotField showAll="0"/>
    <pivotField showAll="0"/>
    <pivotField showAll="0"/>
    <pivotField showAll="0"/>
    <pivotField dataField="1" numFmtId="164" showAll="0"/>
    <pivotField axis="axisRow" showAll="0">
      <items count="5">
        <item h="1" x="3"/>
        <item x="2"/>
        <item h="1" x="1"/>
        <item h="1" x="0"/>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0"/>
    <field x="1"/>
  </rowFields>
  <rowItems count="14">
    <i>
      <x v="1"/>
    </i>
    <i r="1">
      <x v="1"/>
    </i>
    <i r="1">
      <x v="2"/>
    </i>
    <i r="1">
      <x v="3"/>
    </i>
    <i r="1">
      <x v="4"/>
    </i>
    <i r="1">
      <x v="5"/>
    </i>
    <i r="1">
      <x v="6"/>
    </i>
    <i r="1">
      <x v="7"/>
    </i>
    <i r="1">
      <x v="8"/>
    </i>
    <i r="1">
      <x v="9"/>
    </i>
    <i r="1">
      <x v="10"/>
    </i>
    <i r="1">
      <x v="11"/>
    </i>
    <i r="1">
      <x v="12"/>
    </i>
    <i t="grand">
      <x/>
    </i>
  </rowItems>
  <colItems count="1">
    <i/>
  </colItems>
  <dataFields count="1">
    <dataField name="Sum of Charges_INR"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786014-9F8C-5E41-96AD-E14C76AED499}" name="KPI 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21"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pivotField showAll="0">
      <items count="7">
        <item h="1" x="0"/>
        <item h="1" x="3"/>
        <item x="1"/>
        <item h="1" x="2"/>
        <item h="1" x="5"/>
        <item h="1" x="4"/>
        <item t="default"/>
      </items>
    </pivotField>
    <pivotField showAll="0"/>
    <pivotField showAll="0"/>
    <pivotField showAll="0"/>
    <pivotField showAll="0"/>
    <pivotField showAll="0"/>
    <pivotField dataField="1" numFmtId="164" showAll="0"/>
    <pivotField axis="axisRow" showAll="0">
      <items count="5">
        <item h="1" x="3"/>
        <item h="1" x="2"/>
        <item h="1" x="1"/>
        <item x="0"/>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0"/>
    <field x="1"/>
  </rowFields>
  <rowItems count="13">
    <i>
      <x v="3"/>
    </i>
    <i r="1">
      <x v="1"/>
    </i>
    <i r="1">
      <x v="2"/>
    </i>
    <i r="1">
      <x v="3"/>
    </i>
    <i r="1">
      <x v="4"/>
    </i>
    <i r="1">
      <x v="5"/>
    </i>
    <i r="1">
      <x v="6"/>
    </i>
    <i r="1">
      <x v="7"/>
    </i>
    <i r="1">
      <x v="8"/>
    </i>
    <i r="1">
      <x v="9"/>
    </i>
    <i r="1">
      <x v="11"/>
    </i>
    <i r="1">
      <x v="12"/>
    </i>
    <i t="grand">
      <x/>
    </i>
  </rowItems>
  <colItems count="1">
    <i/>
  </colItems>
  <dataFields count="1">
    <dataField name="Sum of Charges_INR"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F3BAD0-67D5-4449-B5B0-780BD097F761}"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5:C18"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pivotField showAll="0">
      <items count="7">
        <item h="1" x="0"/>
        <item h="1" x="3"/>
        <item x="1"/>
        <item h="1" x="2"/>
        <item h="1" x="5"/>
        <item h="1" x="4"/>
        <item t="default"/>
      </items>
    </pivotField>
    <pivotField showAll="0"/>
    <pivotField showAll="0"/>
    <pivotField showAll="0"/>
    <pivotField showAll="0"/>
    <pivotField showAll="0"/>
    <pivotField dataField="1" numFmtId="164"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Charges_INR" fld="9"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A494A8-318A-444C-9927-59487D28077D}" name="PivotTable7"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B9"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pivotField axis="axisRow" showAll="0">
      <items count="7">
        <item h="1" x="0"/>
        <item h="1" x="3"/>
        <item x="1"/>
        <item h="1" x="2"/>
        <item h="1" x="5"/>
        <item h="1" x="4"/>
        <item t="default"/>
      </items>
    </pivotField>
    <pivotField showAll="0"/>
    <pivotField showAll="0"/>
    <pivotField showAll="0"/>
    <pivotField showAll="0"/>
    <pivotField showAll="0"/>
    <pivotField dataField="1" numFmtId="164"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2">
    <i>
      <x v="2"/>
    </i>
    <i t="grand">
      <x/>
    </i>
  </rowItems>
  <colItems count="1">
    <i/>
  </colItems>
  <dataFields count="1">
    <dataField name="Sum of Charges_INR" fld="9" baseField="0" baseItem="0"/>
  </dataFields>
  <pivotTableStyleInfo name="PivotStyleLight16" showRowHeaders="1" showColHeaders="1" showRowStripes="0" showColStripes="0" showLastColumn="1"/>
  <filters count="1">
    <filter fld="1" type="dateBetween" evalOrder="-1" id="45" name="Arrival_Date">
      <autoFilter ref="A1">
        <filterColumn colId="0">
          <customFilters and="1">
            <customFilter operator="greaterThanOrEqual" val="46631"/>
            <customFilter operator="lessThanOrEqual" val="466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6A92C3-3E66-6241-B963-886BD8008B30}"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8:C10"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pivotField axis="axisRow" showAll="0">
      <items count="7">
        <item h="1" x="0"/>
        <item h="1" x="3"/>
        <item x="1"/>
        <item h="1" x="2"/>
        <item h="1" x="5"/>
        <item h="1" x="4"/>
        <item t="default"/>
      </items>
    </pivotField>
    <pivotField showAll="0"/>
    <pivotField showAll="0"/>
    <pivotField showAll="0"/>
    <pivotField showAll="0"/>
    <pivotField showAll="0"/>
    <pivotField dataField="1" numFmtId="164"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2">
    <i>
      <x v="2"/>
    </i>
    <i t="grand">
      <x/>
    </i>
  </rowItems>
  <colItems count="1">
    <i/>
  </colItems>
  <dataFields count="1">
    <dataField name="Sum of Charges_INR" fld="9" baseField="0" baseItem="0"/>
  </dataFields>
  <chartFormats count="14">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 count="1" selected="0">
            <x v="0"/>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pivotArea type="data" outline="0" fieldPosition="0">
        <references count="2">
          <reference field="4294967294" count="1" selected="0">
            <x v="0"/>
          </reference>
          <reference field="3" count="1" selected="0">
            <x v="2"/>
          </reference>
        </references>
      </pivotArea>
    </chartFormat>
    <chartFormat chart="2" format="12">
      <pivotArea type="data" outline="0" fieldPosition="0">
        <references count="2">
          <reference field="4294967294" count="1" selected="0">
            <x v="0"/>
          </reference>
          <reference field="3" count="1" selected="0">
            <x v="3"/>
          </reference>
        </references>
      </pivotArea>
    </chartFormat>
    <chartFormat chart="2" format="13">
      <pivotArea type="data" outline="0" fieldPosition="0">
        <references count="2">
          <reference field="4294967294" count="1" selected="0">
            <x v="0"/>
          </reference>
          <reference field="3" count="1" selected="0">
            <x v="4"/>
          </reference>
        </references>
      </pivotArea>
    </chartFormat>
    <chartFormat chart="2" format="14">
      <pivotArea type="data" outline="0" fieldPosition="0">
        <references count="2">
          <reference field="4294967294" count="1" selected="0">
            <x v="0"/>
          </reference>
          <reference field="3" count="1" selected="0">
            <x v="5"/>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B3E7D6-CF36-D045-B944-8EBAD1D64E0B}"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0" firstHeaderRow="1" firstDataRow="2" firstDataCol="1"/>
  <pivotFields count="13">
    <pivotField showAll="0"/>
    <pivotField numFmtId="14" showAll="0">
      <items count="15">
        <item x="0"/>
        <item x="1"/>
        <item x="2"/>
        <item x="3"/>
        <item x="4"/>
        <item x="5"/>
        <item x="6"/>
        <item x="7"/>
        <item x="8"/>
        <item x="9"/>
        <item x="10"/>
        <item x="11"/>
        <item x="12"/>
        <item x="13"/>
        <item t="default"/>
      </items>
    </pivotField>
    <pivotField showAll="0"/>
    <pivotField showAll="0">
      <items count="7">
        <item h="1" x="0"/>
        <item h="1" x="3"/>
        <item x="1"/>
        <item h="1" x="2"/>
        <item h="1" x="5"/>
        <item h="1" x="4"/>
        <item t="default"/>
      </items>
    </pivotField>
    <pivotField showAll="0"/>
    <pivotField showAll="0"/>
    <pivotField showAll="0"/>
    <pivotField axis="axisCol" showAll="0">
      <items count="4">
        <item x="0"/>
        <item x="1"/>
        <item x="2"/>
        <item t="default"/>
      </items>
    </pivotField>
    <pivotField axis="axisRow" showAll="0">
      <items count="6">
        <item x="4"/>
        <item x="2"/>
        <item x="3"/>
        <item x="1"/>
        <item x="0"/>
        <item t="default"/>
      </items>
    </pivotField>
    <pivotField dataField="1" numFmtId="164"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Fields count="1">
    <field x="7"/>
  </colFields>
  <colItems count="4">
    <i>
      <x/>
    </i>
    <i>
      <x v="1"/>
    </i>
    <i>
      <x v="2"/>
    </i>
    <i t="grand">
      <x/>
    </i>
  </colItems>
  <dataFields count="1">
    <dataField name="Sum of Charges_INR" fld="9"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2" format="6" series="1">
      <pivotArea type="data" outline="0" fieldPosition="0">
        <references count="2">
          <reference field="4294967294" count="1" selected="0">
            <x v="0"/>
          </reference>
          <reference field="7" count="1" selected="0">
            <x v="0"/>
          </reference>
        </references>
      </pivotArea>
    </chartFormat>
    <chartFormat chart="2" format="7" series="1">
      <pivotArea type="data" outline="0" fieldPosition="0">
        <references count="2">
          <reference field="4294967294" count="1" selected="0">
            <x v="0"/>
          </reference>
          <reference field="7" count="1" selected="0">
            <x v="1"/>
          </reference>
        </references>
      </pivotArea>
    </chartFormat>
    <chartFormat chart="2" format="8"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A55E48-FEE0-0B44-91DB-C635D1201BC5}" name="PivotTable4"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8:C14"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axis="axisRow" showAll="0" measureFilter="1">
      <items count="23">
        <item x="14"/>
        <item x="11"/>
        <item x="6"/>
        <item x="21"/>
        <item x="12"/>
        <item x="20"/>
        <item x="4"/>
        <item x="16"/>
        <item x="19"/>
        <item x="8"/>
        <item x="7"/>
        <item x="1"/>
        <item x="9"/>
        <item x="3"/>
        <item x="5"/>
        <item x="13"/>
        <item x="10"/>
        <item x="17"/>
        <item x="2"/>
        <item x="18"/>
        <item x="15"/>
        <item x="0"/>
        <item t="default"/>
      </items>
    </pivotField>
    <pivotField showAll="0">
      <items count="7">
        <item h="1" x="0"/>
        <item h="1" x="3"/>
        <item x="1"/>
        <item h="1" x="2"/>
        <item h="1" x="5"/>
        <item h="1" x="4"/>
        <item t="default"/>
      </items>
    </pivotField>
    <pivotField showAll="0"/>
    <pivotField showAll="0"/>
    <pivotField showAll="0"/>
    <pivotField showAll="0"/>
    <pivotField showAll="0"/>
    <pivotField dataField="1" numFmtId="164"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v="5"/>
    </i>
    <i>
      <x v="6"/>
    </i>
    <i>
      <x v="7"/>
    </i>
    <i>
      <x v="8"/>
    </i>
    <i>
      <x v="9"/>
    </i>
    <i t="grand">
      <x/>
    </i>
  </rowItems>
  <colItems count="1">
    <i/>
  </colItems>
  <dataFields count="1">
    <dataField name="Sum of Charges_INR"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46" name="Arrival_Date">
      <autoFilter ref="A1">
        <filterColumn colId="0">
          <customFilters and="1">
            <customFilter operator="greaterThanOrEqual" val="46631"/>
            <customFilter operator="lessThanOrEqual" val="46660"/>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go_type" xr10:uid="{3BED2953-4FA2-304D-9479-EEE120BB7503}" sourceName="Cargo_type">
  <pivotTables>
    <pivotTable tabId="9" name="PivotTable7"/>
    <pivotTable tabId="6" name="PivotTable3"/>
    <pivotTable tabId="5" name="PivotTable2"/>
    <pivotTable tabId="8" name="PivotTable5"/>
    <pivotTable tabId="11" name="KPI 2"/>
    <pivotTable tabId="14" name="PivotTable1"/>
    <pivotTable tabId="10" name="KPI 1"/>
    <pivotTable tabId="15" name="KPI 4"/>
    <pivotTable tabId="7" name="PivotTable4"/>
  </pivotTables>
  <data>
    <tabular pivotCacheId="331630543">
      <items count="6">
        <i x="0"/>
        <i x="3"/>
        <i x="1" s="1"/>
        <i x="2"/>
        <i x="5"/>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go_type" xr10:uid="{2B0C11F9-0431-2146-8DD4-B8F6A79C67CC}" cache="Slicer_Cargo_type" caption="Cargo_type" columnCount="6" showCaption="0"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go_type 1" xr10:uid="{5B07B9D0-EE98-344A-B3FD-7DB14A6B4A79}" cache="Slicer_Cargo_type" caption="Cargo_type" columnCount="6" showCaption="0" style="SlicerStyleDark5"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7E6B0-9F92-FE41-9F3A-DBB9CD8DB0A0}">
  <dimension ref="A3:H16"/>
  <sheetViews>
    <sheetView workbookViewId="0">
      <selection activeCell="E20" sqref="E20"/>
    </sheetView>
  </sheetViews>
  <sheetFormatPr baseColWidth="10" defaultRowHeight="16"/>
  <cols>
    <col min="1" max="1" width="13" bestFit="1" customWidth="1"/>
    <col min="2" max="2" width="18.1640625" bestFit="1" customWidth="1"/>
    <col min="8" max="8" width="15.83203125" bestFit="1" customWidth="1"/>
  </cols>
  <sheetData>
    <row r="3" spans="1:8">
      <c r="A3" s="2" t="s">
        <v>574</v>
      </c>
      <c r="B3" t="s">
        <v>577</v>
      </c>
    </row>
    <row r="4" spans="1:8">
      <c r="A4" s="9" t="s">
        <v>585</v>
      </c>
      <c r="B4" s="19">
        <v>3224500</v>
      </c>
    </row>
    <row r="5" spans="1:8">
      <c r="A5" s="9" t="s">
        <v>586</v>
      </c>
      <c r="B5" s="19">
        <v>852000</v>
      </c>
    </row>
    <row r="6" spans="1:8">
      <c r="A6" s="9" t="s">
        <v>587</v>
      </c>
      <c r="B6" s="19">
        <v>2330000</v>
      </c>
    </row>
    <row r="7" spans="1:8">
      <c r="A7" s="9" t="s">
        <v>588</v>
      </c>
      <c r="B7" s="19">
        <v>3301500</v>
      </c>
    </row>
    <row r="8" spans="1:8">
      <c r="A8" s="9" t="s">
        <v>589</v>
      </c>
      <c r="B8" s="19">
        <v>1674500</v>
      </c>
    </row>
    <row r="9" spans="1:8">
      <c r="A9" s="9" t="s">
        <v>590</v>
      </c>
      <c r="B9" s="19">
        <v>2708500</v>
      </c>
      <c r="H9" s="12">
        <f>(B15-B4)/B4</f>
        <v>-0.58691269964335557</v>
      </c>
    </row>
    <row r="10" spans="1:8">
      <c r="A10" s="9" t="s">
        <v>591</v>
      </c>
      <c r="B10" s="19">
        <v>2420500</v>
      </c>
    </row>
    <row r="11" spans="1:8">
      <c r="A11" s="9" t="s">
        <v>592</v>
      </c>
      <c r="B11" s="19">
        <v>2064000</v>
      </c>
    </row>
    <row r="12" spans="1:8">
      <c r="A12" s="9" t="s">
        <v>576</v>
      </c>
      <c r="B12" s="19">
        <v>2278000</v>
      </c>
    </row>
    <row r="13" spans="1:8">
      <c r="A13" s="9" t="s">
        <v>593</v>
      </c>
      <c r="B13" s="19">
        <v>628500</v>
      </c>
    </row>
    <row r="14" spans="1:8">
      <c r="A14" s="9" t="s">
        <v>594</v>
      </c>
      <c r="B14" s="19">
        <v>2079000</v>
      </c>
    </row>
    <row r="15" spans="1:8">
      <c r="A15" s="9" t="s">
        <v>595</v>
      </c>
      <c r="B15" s="19">
        <v>1332000</v>
      </c>
    </row>
    <row r="16" spans="1:8">
      <c r="A16" s="9" t="s">
        <v>575</v>
      </c>
      <c r="B16" s="19">
        <v>24893000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C92C1-5ED8-F74E-888D-A61BDFF42B77}">
  <sheetPr codeName="Sheet3"/>
  <dimension ref="A1:N501"/>
  <sheetViews>
    <sheetView topLeftCell="D61" zoomScale="107" zoomScaleNormal="120" workbookViewId="0">
      <selection activeCell="E15" sqref="E15"/>
    </sheetView>
  </sheetViews>
  <sheetFormatPr baseColWidth="10" defaultRowHeight="16"/>
  <cols>
    <col min="2" max="2" width="15.6640625" style="6" customWidth="1"/>
    <col min="3" max="3" width="19.6640625" customWidth="1"/>
    <col min="4" max="4" width="17.6640625" customWidth="1"/>
    <col min="5" max="5" width="47.33203125" customWidth="1"/>
    <col min="6" max="6" width="20.1640625" bestFit="1" customWidth="1"/>
    <col min="7" max="7" width="10.5" bestFit="1" customWidth="1"/>
    <col min="8" max="8" width="29.1640625" customWidth="1"/>
    <col min="9" max="9" width="40.33203125" customWidth="1"/>
    <col min="10" max="10" width="13.83203125" style="8" bestFit="1" customWidth="1"/>
    <col min="11" max="11" width="25.5" customWidth="1"/>
    <col min="12" max="12" width="13.1640625" bestFit="1" customWidth="1"/>
    <col min="13" max="13" width="20.83203125" bestFit="1" customWidth="1"/>
    <col min="14" max="14" width="18.33203125" bestFit="1" customWidth="1"/>
    <col min="15" max="15" width="18.1640625" bestFit="1" customWidth="1"/>
    <col min="16" max="16" width="22.6640625" bestFit="1" customWidth="1"/>
    <col min="17" max="19" width="10.83203125" bestFit="1" customWidth="1"/>
    <col min="20" max="20" width="9.1640625" bestFit="1" customWidth="1"/>
    <col min="21" max="21" width="8.1640625" bestFit="1" customWidth="1"/>
  </cols>
  <sheetData>
    <row r="1" spans="1:14" ht="23">
      <c r="A1" s="1" t="s">
        <v>0</v>
      </c>
      <c r="B1" s="4" t="s">
        <v>10</v>
      </c>
      <c r="C1" s="1" t="s">
        <v>1</v>
      </c>
      <c r="D1" s="1" t="s">
        <v>2</v>
      </c>
      <c r="E1" s="1" t="s">
        <v>3</v>
      </c>
      <c r="F1" s="1" t="s">
        <v>4</v>
      </c>
      <c r="G1" s="1" t="s">
        <v>5</v>
      </c>
      <c r="H1" s="1" t="s">
        <v>6</v>
      </c>
      <c r="I1" s="1" t="s">
        <v>7</v>
      </c>
      <c r="J1" s="7" t="s">
        <v>8</v>
      </c>
      <c r="K1" s="1" t="s">
        <v>9</v>
      </c>
      <c r="L1" s="1"/>
    </row>
    <row r="2" spans="1:14" ht="17">
      <c r="A2">
        <v>1</v>
      </c>
      <c r="B2" s="5">
        <v>45658</v>
      </c>
      <c r="C2" t="s">
        <v>11</v>
      </c>
      <c r="D2" t="s">
        <v>38</v>
      </c>
      <c r="E2" t="s">
        <v>40</v>
      </c>
      <c r="F2" t="s">
        <v>59</v>
      </c>
      <c r="G2" t="s">
        <v>550</v>
      </c>
      <c r="H2" t="s">
        <v>562</v>
      </c>
      <c r="I2" t="s">
        <v>565</v>
      </c>
      <c r="J2" s="8">
        <v>23000</v>
      </c>
      <c r="K2" t="s">
        <v>570</v>
      </c>
    </row>
    <row r="3" spans="1:14" ht="17">
      <c r="A3">
        <v>2</v>
      </c>
      <c r="B3" s="5">
        <v>45660</v>
      </c>
      <c r="C3" t="s">
        <v>12</v>
      </c>
      <c r="D3" t="s">
        <v>38</v>
      </c>
      <c r="E3" t="s">
        <v>41</v>
      </c>
      <c r="F3" t="s">
        <v>60</v>
      </c>
      <c r="G3" t="s">
        <v>551</v>
      </c>
      <c r="H3" t="s">
        <v>562</v>
      </c>
      <c r="I3" t="s">
        <v>566</v>
      </c>
      <c r="J3" s="8">
        <v>780000</v>
      </c>
      <c r="K3" t="s">
        <v>571</v>
      </c>
    </row>
    <row r="4" spans="1:14" ht="17">
      <c r="A4">
        <v>3</v>
      </c>
      <c r="B4" s="5">
        <v>45663</v>
      </c>
      <c r="C4" t="s">
        <v>13</v>
      </c>
      <c r="D4" t="s">
        <v>38</v>
      </c>
      <c r="E4" t="s">
        <v>42</v>
      </c>
      <c r="F4" t="s">
        <v>61</v>
      </c>
      <c r="G4" t="s">
        <v>552</v>
      </c>
      <c r="H4" t="s">
        <v>563</v>
      </c>
      <c r="I4" t="s">
        <v>567</v>
      </c>
      <c r="J4" s="8">
        <v>47500</v>
      </c>
      <c r="K4" t="s">
        <v>572</v>
      </c>
    </row>
    <row r="5" spans="1:14" ht="17">
      <c r="A5">
        <v>4</v>
      </c>
      <c r="B5" s="5">
        <v>45664</v>
      </c>
      <c r="C5" t="s">
        <v>14</v>
      </c>
      <c r="D5" t="s">
        <v>38</v>
      </c>
      <c r="E5" t="s">
        <v>39</v>
      </c>
      <c r="F5" t="s">
        <v>62</v>
      </c>
      <c r="G5" t="s">
        <v>553</v>
      </c>
      <c r="H5" t="s">
        <v>562</v>
      </c>
      <c r="I5" t="s">
        <v>568</v>
      </c>
      <c r="J5" s="8">
        <v>510500</v>
      </c>
      <c r="K5" t="s">
        <v>570</v>
      </c>
    </row>
    <row r="6" spans="1:14" ht="17">
      <c r="A6">
        <v>5</v>
      </c>
      <c r="B6" s="5">
        <v>45666</v>
      </c>
      <c r="C6" t="s">
        <v>15</v>
      </c>
      <c r="D6" t="s">
        <v>33</v>
      </c>
      <c r="E6" t="s">
        <v>43</v>
      </c>
      <c r="F6" t="s">
        <v>63</v>
      </c>
      <c r="G6" t="s">
        <v>554</v>
      </c>
      <c r="H6" t="s">
        <v>563</v>
      </c>
      <c r="I6" t="s">
        <v>568</v>
      </c>
      <c r="J6" s="8">
        <v>18500</v>
      </c>
      <c r="K6" t="s">
        <v>573</v>
      </c>
    </row>
    <row r="7" spans="1:14" ht="17">
      <c r="A7">
        <v>6</v>
      </c>
      <c r="B7" s="5">
        <v>45668</v>
      </c>
      <c r="C7" t="s">
        <v>16</v>
      </c>
      <c r="D7" t="s">
        <v>34</v>
      </c>
      <c r="E7" t="s">
        <v>42</v>
      </c>
      <c r="F7" t="s">
        <v>64</v>
      </c>
      <c r="G7" t="s">
        <v>555</v>
      </c>
      <c r="H7" t="s">
        <v>564</v>
      </c>
      <c r="I7" t="s">
        <v>568</v>
      </c>
      <c r="J7" s="8">
        <v>477500</v>
      </c>
      <c r="K7" t="s">
        <v>572</v>
      </c>
    </row>
    <row r="8" spans="1:14" ht="17">
      <c r="A8">
        <v>7</v>
      </c>
      <c r="B8" s="5">
        <v>45671</v>
      </c>
      <c r="C8" t="s">
        <v>16</v>
      </c>
      <c r="D8" t="s">
        <v>34</v>
      </c>
      <c r="E8" t="s">
        <v>44</v>
      </c>
      <c r="F8" t="s">
        <v>65</v>
      </c>
      <c r="G8" t="s">
        <v>556</v>
      </c>
      <c r="H8" t="s">
        <v>563</v>
      </c>
      <c r="I8" t="s">
        <v>567</v>
      </c>
      <c r="J8" s="8">
        <v>43500</v>
      </c>
      <c r="K8" t="s">
        <v>570</v>
      </c>
    </row>
    <row r="9" spans="1:14" ht="17">
      <c r="A9">
        <v>8</v>
      </c>
      <c r="B9" s="5">
        <v>45672</v>
      </c>
      <c r="C9" t="s">
        <v>15</v>
      </c>
      <c r="D9" t="s">
        <v>33</v>
      </c>
      <c r="E9" t="s">
        <v>45</v>
      </c>
      <c r="F9" t="s">
        <v>66</v>
      </c>
      <c r="G9" t="s">
        <v>557</v>
      </c>
      <c r="H9" t="s">
        <v>562</v>
      </c>
      <c r="I9" t="s">
        <v>569</v>
      </c>
      <c r="J9" s="8">
        <v>122500</v>
      </c>
      <c r="K9" t="s">
        <v>572</v>
      </c>
      <c r="N9" t="s">
        <v>581</v>
      </c>
    </row>
    <row r="10" spans="1:14" ht="24">
      <c r="A10">
        <v>9</v>
      </c>
      <c r="B10" s="5">
        <v>45674</v>
      </c>
      <c r="C10" t="s">
        <v>18</v>
      </c>
      <c r="D10" t="s">
        <v>35</v>
      </c>
      <c r="E10" t="s">
        <v>45</v>
      </c>
      <c r="F10" t="s">
        <v>67</v>
      </c>
      <c r="G10" t="s">
        <v>558</v>
      </c>
      <c r="H10" t="s">
        <v>563</v>
      </c>
      <c r="I10" t="s">
        <v>568</v>
      </c>
      <c r="J10" s="8">
        <v>760500</v>
      </c>
      <c r="K10" t="s">
        <v>572</v>
      </c>
      <c r="M10" s="10" t="s">
        <v>580</v>
      </c>
      <c r="N10" s="14">
        <f>SUM(J2:J501)</f>
        <v>97798500</v>
      </c>
    </row>
    <row r="11" spans="1:14" ht="22">
      <c r="A11">
        <v>10</v>
      </c>
      <c r="B11" s="5">
        <v>45676</v>
      </c>
      <c r="C11" t="s">
        <v>19</v>
      </c>
      <c r="D11" t="s">
        <v>36</v>
      </c>
      <c r="E11" t="s">
        <v>47</v>
      </c>
      <c r="F11" t="s">
        <v>68</v>
      </c>
      <c r="G11" t="s">
        <v>559</v>
      </c>
      <c r="H11" t="s">
        <v>562</v>
      </c>
      <c r="I11" t="s">
        <v>568</v>
      </c>
      <c r="J11" s="8">
        <v>136000</v>
      </c>
      <c r="K11" t="s">
        <v>572</v>
      </c>
      <c r="M11" s="10" t="s">
        <v>582</v>
      </c>
      <c r="N11" s="15">
        <f>SUMIF(K2:K501,"Pending",J2:J501)</f>
        <v>26685500</v>
      </c>
    </row>
    <row r="12" spans="1:14" ht="17">
      <c r="A12">
        <v>11</v>
      </c>
      <c r="B12" s="5">
        <v>45678</v>
      </c>
      <c r="C12" t="s">
        <v>20</v>
      </c>
      <c r="D12" t="s">
        <v>33</v>
      </c>
      <c r="E12" t="s">
        <v>43</v>
      </c>
      <c r="F12" t="s">
        <v>69</v>
      </c>
      <c r="G12" t="s">
        <v>560</v>
      </c>
      <c r="H12" t="s">
        <v>563</v>
      </c>
      <c r="I12" t="s">
        <v>569</v>
      </c>
      <c r="J12" s="8">
        <v>30000</v>
      </c>
      <c r="K12" t="s">
        <v>572</v>
      </c>
      <c r="M12" s="10" t="s">
        <v>583</v>
      </c>
      <c r="N12" s="16">
        <f>SUMIF(K2:K501,"Paid",J2:J501)</f>
        <v>50215500</v>
      </c>
    </row>
    <row r="13" spans="1:14" ht="23">
      <c r="A13">
        <v>12</v>
      </c>
      <c r="B13" s="5">
        <v>45680</v>
      </c>
      <c r="C13" t="s">
        <v>21</v>
      </c>
      <c r="D13" t="s">
        <v>37</v>
      </c>
      <c r="E13" t="s">
        <v>48</v>
      </c>
      <c r="F13" t="s">
        <v>70</v>
      </c>
      <c r="G13" t="s">
        <v>552</v>
      </c>
      <c r="H13" t="s">
        <v>562</v>
      </c>
      <c r="I13" t="s">
        <v>569</v>
      </c>
      <c r="J13" s="8">
        <v>93000</v>
      </c>
      <c r="K13" t="s">
        <v>570</v>
      </c>
      <c r="L13" s="1"/>
      <c r="M13" s="10" t="s">
        <v>584</v>
      </c>
      <c r="N13" s="15">
        <f>SUMIF(K2:K501,"Overdue",J2:J501)</f>
        <v>11383000</v>
      </c>
    </row>
    <row r="14" spans="1:14" ht="17">
      <c r="A14">
        <v>13</v>
      </c>
      <c r="B14" s="5">
        <v>45682</v>
      </c>
      <c r="C14" t="s">
        <v>21</v>
      </c>
      <c r="D14" t="s">
        <v>33</v>
      </c>
      <c r="E14" t="s">
        <v>41</v>
      </c>
      <c r="F14" t="s">
        <v>71</v>
      </c>
      <c r="G14" t="s">
        <v>551</v>
      </c>
      <c r="H14" t="s">
        <v>564</v>
      </c>
      <c r="I14" t="s">
        <v>569</v>
      </c>
      <c r="J14" s="8">
        <v>299500</v>
      </c>
      <c r="K14" t="s">
        <v>570</v>
      </c>
    </row>
    <row r="15" spans="1:14" ht="17">
      <c r="A15">
        <v>14</v>
      </c>
      <c r="B15" s="5">
        <v>45684</v>
      </c>
      <c r="C15" t="s">
        <v>22</v>
      </c>
      <c r="D15" t="s">
        <v>37</v>
      </c>
      <c r="E15" t="s">
        <v>49</v>
      </c>
      <c r="F15" t="s">
        <v>72</v>
      </c>
      <c r="G15" t="s">
        <v>550</v>
      </c>
      <c r="H15" t="s">
        <v>563</v>
      </c>
      <c r="I15" t="s">
        <v>569</v>
      </c>
      <c r="J15" s="8">
        <v>131000</v>
      </c>
      <c r="K15" t="s">
        <v>572</v>
      </c>
    </row>
    <row r="16" spans="1:14" ht="17">
      <c r="A16">
        <v>15</v>
      </c>
      <c r="B16" s="5">
        <v>45686</v>
      </c>
      <c r="C16" t="s">
        <v>23</v>
      </c>
      <c r="D16" t="s">
        <v>35</v>
      </c>
      <c r="E16" t="s">
        <v>46</v>
      </c>
      <c r="F16" t="s">
        <v>73</v>
      </c>
      <c r="G16" t="s">
        <v>553</v>
      </c>
      <c r="H16" t="s">
        <v>563</v>
      </c>
      <c r="I16" t="s">
        <v>566</v>
      </c>
      <c r="J16" s="8">
        <v>69500</v>
      </c>
      <c r="K16" t="s">
        <v>570</v>
      </c>
    </row>
    <row r="17" spans="1:11" ht="17">
      <c r="A17">
        <v>16</v>
      </c>
      <c r="B17" s="5">
        <v>45688</v>
      </c>
      <c r="C17" t="s">
        <v>22</v>
      </c>
      <c r="D17" t="s">
        <v>37</v>
      </c>
      <c r="E17" t="s">
        <v>39</v>
      </c>
      <c r="F17" t="s">
        <v>74</v>
      </c>
      <c r="G17" t="s">
        <v>554</v>
      </c>
      <c r="H17" t="s">
        <v>564</v>
      </c>
      <c r="I17" t="s">
        <v>568</v>
      </c>
      <c r="J17" s="8">
        <v>70000</v>
      </c>
      <c r="K17" t="s">
        <v>572</v>
      </c>
    </row>
    <row r="18" spans="1:11" ht="17">
      <c r="A18">
        <v>17</v>
      </c>
      <c r="B18" s="5">
        <v>45690</v>
      </c>
      <c r="C18" t="s">
        <v>24</v>
      </c>
      <c r="D18" t="s">
        <v>35</v>
      </c>
      <c r="E18" t="s">
        <v>50</v>
      </c>
      <c r="F18" t="s">
        <v>75</v>
      </c>
      <c r="G18" t="s">
        <v>556</v>
      </c>
      <c r="H18" t="s">
        <v>562</v>
      </c>
      <c r="I18" t="s">
        <v>565</v>
      </c>
      <c r="J18" s="8">
        <v>15000</v>
      </c>
      <c r="K18" t="s">
        <v>572</v>
      </c>
    </row>
    <row r="19" spans="1:11" ht="17">
      <c r="A19">
        <v>18</v>
      </c>
      <c r="B19" s="5">
        <v>45692</v>
      </c>
      <c r="C19" t="s">
        <v>24</v>
      </c>
      <c r="D19" t="s">
        <v>35</v>
      </c>
      <c r="E19" t="s">
        <v>51</v>
      </c>
      <c r="F19" t="s">
        <v>76</v>
      </c>
      <c r="G19" t="s">
        <v>557</v>
      </c>
      <c r="H19" t="s">
        <v>563</v>
      </c>
      <c r="I19" t="s">
        <v>566</v>
      </c>
      <c r="J19" s="8">
        <v>668500</v>
      </c>
      <c r="K19" t="s">
        <v>570</v>
      </c>
    </row>
    <row r="20" spans="1:11" ht="17">
      <c r="A20">
        <v>19</v>
      </c>
      <c r="B20" s="5">
        <v>45694</v>
      </c>
      <c r="C20" t="s">
        <v>12</v>
      </c>
      <c r="D20" t="s">
        <v>38</v>
      </c>
      <c r="E20" t="s">
        <v>42</v>
      </c>
      <c r="F20" t="s">
        <v>77</v>
      </c>
      <c r="G20" t="s">
        <v>555</v>
      </c>
      <c r="H20" t="s">
        <v>564</v>
      </c>
      <c r="I20" t="s">
        <v>569</v>
      </c>
      <c r="J20" s="8">
        <v>82500</v>
      </c>
      <c r="K20" t="s">
        <v>572</v>
      </c>
    </row>
    <row r="21" spans="1:11" ht="17">
      <c r="A21">
        <v>20</v>
      </c>
      <c r="B21" s="5">
        <v>45697</v>
      </c>
      <c r="C21" t="s">
        <v>25</v>
      </c>
      <c r="D21" t="s">
        <v>34</v>
      </c>
      <c r="E21" t="s">
        <v>52</v>
      </c>
      <c r="F21" t="s">
        <v>78</v>
      </c>
      <c r="G21" t="s">
        <v>561</v>
      </c>
      <c r="H21" t="s">
        <v>564</v>
      </c>
      <c r="I21" t="s">
        <v>568</v>
      </c>
      <c r="J21" s="8">
        <v>443500</v>
      </c>
      <c r="K21" t="s">
        <v>572</v>
      </c>
    </row>
    <row r="22" spans="1:11" ht="17">
      <c r="A22">
        <v>21</v>
      </c>
      <c r="B22" s="5">
        <v>45699</v>
      </c>
      <c r="C22" t="s">
        <v>26</v>
      </c>
      <c r="D22" t="s">
        <v>35</v>
      </c>
      <c r="E22" t="s">
        <v>46</v>
      </c>
      <c r="F22" t="s">
        <v>79</v>
      </c>
      <c r="G22" t="s">
        <v>558</v>
      </c>
      <c r="H22" t="s">
        <v>562</v>
      </c>
      <c r="I22" t="s">
        <v>567</v>
      </c>
      <c r="J22" s="8">
        <v>521500</v>
      </c>
      <c r="K22" t="s">
        <v>572</v>
      </c>
    </row>
    <row r="23" spans="1:11" ht="17">
      <c r="A23">
        <v>22</v>
      </c>
      <c r="B23" s="5">
        <v>45701</v>
      </c>
      <c r="C23" t="s">
        <v>21</v>
      </c>
      <c r="D23" t="s">
        <v>37</v>
      </c>
      <c r="E23" t="s">
        <v>48</v>
      </c>
      <c r="F23" t="s">
        <v>80</v>
      </c>
      <c r="G23" t="s">
        <v>559</v>
      </c>
      <c r="H23" t="s">
        <v>564</v>
      </c>
      <c r="I23" t="s">
        <v>567</v>
      </c>
      <c r="J23" s="8">
        <v>125000</v>
      </c>
      <c r="K23" t="s">
        <v>571</v>
      </c>
    </row>
    <row r="24" spans="1:11" ht="17">
      <c r="A24">
        <v>23</v>
      </c>
      <c r="B24" s="5">
        <v>45703</v>
      </c>
      <c r="C24" t="s">
        <v>19</v>
      </c>
      <c r="D24" t="s">
        <v>36</v>
      </c>
      <c r="E24" t="s">
        <v>47</v>
      </c>
      <c r="F24" t="s">
        <v>81</v>
      </c>
      <c r="G24" t="s">
        <v>552</v>
      </c>
      <c r="H24" t="s">
        <v>563</v>
      </c>
      <c r="I24" t="s">
        <v>566</v>
      </c>
      <c r="J24" s="8">
        <v>489500</v>
      </c>
      <c r="K24" t="s">
        <v>572</v>
      </c>
    </row>
    <row r="25" spans="1:11" ht="17">
      <c r="A25">
        <v>24</v>
      </c>
      <c r="B25" s="5">
        <v>45705</v>
      </c>
      <c r="C25" t="s">
        <v>19</v>
      </c>
      <c r="D25" t="s">
        <v>36</v>
      </c>
      <c r="E25" t="s">
        <v>53</v>
      </c>
      <c r="F25" t="s">
        <v>82</v>
      </c>
      <c r="G25" t="s">
        <v>551</v>
      </c>
      <c r="H25" t="s">
        <v>562</v>
      </c>
      <c r="I25" t="s">
        <v>568</v>
      </c>
      <c r="J25" s="8">
        <v>475500</v>
      </c>
      <c r="K25" t="s">
        <v>572</v>
      </c>
    </row>
    <row r="26" spans="1:11" ht="17">
      <c r="A26">
        <v>25</v>
      </c>
      <c r="B26" s="5">
        <v>45707</v>
      </c>
      <c r="C26" t="s">
        <v>25</v>
      </c>
      <c r="D26" t="s">
        <v>34</v>
      </c>
      <c r="E26" t="s">
        <v>52</v>
      </c>
      <c r="F26" t="s">
        <v>83</v>
      </c>
      <c r="G26" t="s">
        <v>550</v>
      </c>
      <c r="H26" t="s">
        <v>564</v>
      </c>
      <c r="I26" t="s">
        <v>568</v>
      </c>
      <c r="J26" s="8">
        <v>471000</v>
      </c>
      <c r="K26" t="s">
        <v>570</v>
      </c>
    </row>
    <row r="27" spans="1:11" ht="17">
      <c r="A27">
        <v>26</v>
      </c>
      <c r="B27" s="5">
        <v>45709</v>
      </c>
      <c r="C27" t="s">
        <v>27</v>
      </c>
      <c r="D27" t="s">
        <v>38</v>
      </c>
      <c r="E27" t="s">
        <v>54</v>
      </c>
      <c r="F27" t="s">
        <v>84</v>
      </c>
      <c r="G27" t="s">
        <v>553</v>
      </c>
      <c r="H27" t="s">
        <v>563</v>
      </c>
      <c r="I27" t="s">
        <v>566</v>
      </c>
      <c r="J27" s="8">
        <v>116500</v>
      </c>
      <c r="K27" t="s">
        <v>571</v>
      </c>
    </row>
    <row r="28" spans="1:11" ht="17">
      <c r="A28">
        <v>27</v>
      </c>
      <c r="B28" s="5">
        <v>45712</v>
      </c>
      <c r="C28" t="s">
        <v>28</v>
      </c>
      <c r="D28" t="s">
        <v>33</v>
      </c>
      <c r="E28" t="s">
        <v>41</v>
      </c>
      <c r="F28" t="s">
        <v>85</v>
      </c>
      <c r="G28" t="s">
        <v>554</v>
      </c>
      <c r="H28" t="s">
        <v>563</v>
      </c>
      <c r="I28" t="s">
        <v>565</v>
      </c>
      <c r="J28" s="8">
        <v>90500</v>
      </c>
      <c r="K28" t="s">
        <v>572</v>
      </c>
    </row>
    <row r="29" spans="1:11" ht="17">
      <c r="A29">
        <v>28</v>
      </c>
      <c r="B29" s="5">
        <v>45714</v>
      </c>
      <c r="C29" t="s">
        <v>22</v>
      </c>
      <c r="D29" t="s">
        <v>37</v>
      </c>
      <c r="E29" t="s">
        <v>48</v>
      </c>
      <c r="F29" t="s">
        <v>86</v>
      </c>
      <c r="G29" t="s">
        <v>555</v>
      </c>
      <c r="H29" t="s">
        <v>562</v>
      </c>
      <c r="I29" t="s">
        <v>569</v>
      </c>
      <c r="J29" s="8">
        <v>690500</v>
      </c>
      <c r="K29" t="s">
        <v>572</v>
      </c>
    </row>
    <row r="30" spans="1:11" ht="17">
      <c r="A30">
        <v>29</v>
      </c>
      <c r="B30" s="5">
        <v>45717</v>
      </c>
      <c r="C30" t="s">
        <v>22</v>
      </c>
      <c r="D30" t="s">
        <v>37</v>
      </c>
      <c r="E30" t="s">
        <v>55</v>
      </c>
      <c r="F30" t="s">
        <v>87</v>
      </c>
      <c r="G30" t="s">
        <v>556</v>
      </c>
      <c r="H30" t="s">
        <v>563</v>
      </c>
      <c r="I30" t="s">
        <v>565</v>
      </c>
      <c r="J30" s="8">
        <v>205000</v>
      </c>
      <c r="K30" t="s">
        <v>572</v>
      </c>
    </row>
    <row r="31" spans="1:11" ht="17">
      <c r="A31">
        <v>30</v>
      </c>
      <c r="B31" s="5">
        <v>45719</v>
      </c>
      <c r="C31" t="s">
        <v>19</v>
      </c>
      <c r="D31" t="s">
        <v>36</v>
      </c>
      <c r="E31" t="s">
        <v>53</v>
      </c>
      <c r="F31" t="s">
        <v>88</v>
      </c>
      <c r="G31" t="s">
        <v>557</v>
      </c>
      <c r="H31" t="s">
        <v>564</v>
      </c>
      <c r="I31" t="s">
        <v>569</v>
      </c>
      <c r="J31" s="8">
        <v>17000</v>
      </c>
      <c r="K31" t="s">
        <v>572</v>
      </c>
    </row>
    <row r="32" spans="1:11" ht="17">
      <c r="A32">
        <v>31</v>
      </c>
      <c r="B32" s="5">
        <v>45721</v>
      </c>
      <c r="C32" t="s">
        <v>21</v>
      </c>
      <c r="D32" t="s">
        <v>37</v>
      </c>
      <c r="E32" t="s">
        <v>55</v>
      </c>
      <c r="F32" t="s">
        <v>89</v>
      </c>
      <c r="G32" t="s">
        <v>560</v>
      </c>
      <c r="H32" t="s">
        <v>562</v>
      </c>
      <c r="I32" t="s">
        <v>569</v>
      </c>
      <c r="J32" s="8">
        <v>222500</v>
      </c>
      <c r="K32" t="s">
        <v>572</v>
      </c>
    </row>
    <row r="33" spans="1:11" ht="17">
      <c r="A33">
        <v>32</v>
      </c>
      <c r="B33" s="5">
        <v>45723</v>
      </c>
      <c r="C33" t="s">
        <v>23</v>
      </c>
      <c r="D33" t="s">
        <v>35</v>
      </c>
      <c r="E33" t="s">
        <v>51</v>
      </c>
      <c r="F33" t="s">
        <v>90</v>
      </c>
      <c r="G33" t="s">
        <v>558</v>
      </c>
      <c r="H33" t="s">
        <v>564</v>
      </c>
      <c r="I33" t="s">
        <v>568</v>
      </c>
      <c r="J33" s="8">
        <v>43500</v>
      </c>
      <c r="K33" t="s">
        <v>570</v>
      </c>
    </row>
    <row r="34" spans="1:11" ht="17">
      <c r="A34">
        <v>33</v>
      </c>
      <c r="B34" s="5">
        <v>45724</v>
      </c>
      <c r="C34" t="s">
        <v>15</v>
      </c>
      <c r="D34" t="s">
        <v>33</v>
      </c>
      <c r="E34" t="s">
        <v>56</v>
      </c>
      <c r="F34" t="s">
        <v>91</v>
      </c>
      <c r="G34" t="s">
        <v>559</v>
      </c>
      <c r="H34" t="s">
        <v>562</v>
      </c>
      <c r="I34" t="s">
        <v>566</v>
      </c>
      <c r="J34" s="8">
        <v>286000</v>
      </c>
      <c r="K34" t="s">
        <v>573</v>
      </c>
    </row>
    <row r="35" spans="1:11" ht="17">
      <c r="A35">
        <v>34</v>
      </c>
      <c r="B35" s="5">
        <v>45726</v>
      </c>
      <c r="C35" t="s">
        <v>23</v>
      </c>
      <c r="D35" t="s">
        <v>35</v>
      </c>
      <c r="E35" t="s">
        <v>51</v>
      </c>
      <c r="F35" t="s">
        <v>92</v>
      </c>
      <c r="G35" t="s">
        <v>552</v>
      </c>
      <c r="H35" t="s">
        <v>563</v>
      </c>
      <c r="I35" t="s">
        <v>566</v>
      </c>
      <c r="J35" s="8">
        <v>74000</v>
      </c>
      <c r="K35" t="s">
        <v>571</v>
      </c>
    </row>
    <row r="36" spans="1:11" ht="17">
      <c r="A36">
        <v>35</v>
      </c>
      <c r="B36" s="5">
        <v>45728</v>
      </c>
      <c r="C36" t="s">
        <v>12</v>
      </c>
      <c r="D36" t="s">
        <v>38</v>
      </c>
      <c r="E36" t="s">
        <v>54</v>
      </c>
      <c r="F36" t="s">
        <v>93</v>
      </c>
      <c r="G36" t="s">
        <v>551</v>
      </c>
      <c r="H36" t="s">
        <v>564</v>
      </c>
      <c r="I36" t="s">
        <v>566</v>
      </c>
      <c r="J36" s="8">
        <v>279500</v>
      </c>
      <c r="K36" t="s">
        <v>570</v>
      </c>
    </row>
    <row r="37" spans="1:11" ht="17">
      <c r="A37">
        <v>36</v>
      </c>
      <c r="B37" s="5">
        <v>45729</v>
      </c>
      <c r="C37" t="s">
        <v>27</v>
      </c>
      <c r="D37" t="s">
        <v>38</v>
      </c>
      <c r="E37" t="s">
        <v>49</v>
      </c>
      <c r="F37" t="s">
        <v>94</v>
      </c>
      <c r="G37" t="s">
        <v>550</v>
      </c>
      <c r="H37" t="s">
        <v>562</v>
      </c>
      <c r="I37" t="s">
        <v>569</v>
      </c>
      <c r="J37" s="8">
        <v>179000</v>
      </c>
      <c r="K37" t="s">
        <v>572</v>
      </c>
    </row>
    <row r="38" spans="1:11" ht="17">
      <c r="A38">
        <v>37</v>
      </c>
      <c r="B38" s="5">
        <v>45732</v>
      </c>
      <c r="C38" t="s">
        <v>23</v>
      </c>
      <c r="D38" t="s">
        <v>35</v>
      </c>
      <c r="E38" t="s">
        <v>57</v>
      </c>
      <c r="F38" t="s">
        <v>95</v>
      </c>
      <c r="G38" t="s">
        <v>553</v>
      </c>
      <c r="H38" t="s">
        <v>562</v>
      </c>
      <c r="I38" t="s">
        <v>568</v>
      </c>
      <c r="J38" s="8">
        <v>82500</v>
      </c>
      <c r="K38" t="s">
        <v>570</v>
      </c>
    </row>
    <row r="39" spans="1:11" ht="17">
      <c r="A39">
        <v>38</v>
      </c>
      <c r="B39" s="5">
        <v>45734</v>
      </c>
      <c r="C39" t="s">
        <v>20</v>
      </c>
      <c r="D39" t="s">
        <v>33</v>
      </c>
      <c r="E39" t="s">
        <v>43</v>
      </c>
      <c r="F39" t="s">
        <v>96</v>
      </c>
      <c r="G39" t="s">
        <v>554</v>
      </c>
      <c r="H39" t="s">
        <v>564</v>
      </c>
      <c r="I39" t="s">
        <v>568</v>
      </c>
      <c r="J39" s="8">
        <v>340000</v>
      </c>
      <c r="K39" t="s">
        <v>572</v>
      </c>
    </row>
    <row r="40" spans="1:11" ht="17">
      <c r="A40">
        <v>39</v>
      </c>
      <c r="B40" s="5">
        <v>45736</v>
      </c>
      <c r="C40" t="s">
        <v>23</v>
      </c>
      <c r="D40" t="s">
        <v>35</v>
      </c>
      <c r="E40" t="s">
        <v>58</v>
      </c>
      <c r="F40" t="s">
        <v>97</v>
      </c>
      <c r="G40" t="s">
        <v>561</v>
      </c>
      <c r="H40" t="s">
        <v>562</v>
      </c>
      <c r="I40" t="s">
        <v>569</v>
      </c>
      <c r="J40" s="8">
        <v>433000</v>
      </c>
      <c r="K40" t="s">
        <v>572</v>
      </c>
    </row>
    <row r="41" spans="1:11" ht="17">
      <c r="A41">
        <v>40</v>
      </c>
      <c r="B41" s="5">
        <v>45738</v>
      </c>
      <c r="C41" t="s">
        <v>21</v>
      </c>
      <c r="D41" t="s">
        <v>37</v>
      </c>
      <c r="E41" t="s">
        <v>55</v>
      </c>
      <c r="F41" t="s">
        <v>98</v>
      </c>
      <c r="G41" t="s">
        <v>555</v>
      </c>
      <c r="H41" t="s">
        <v>562</v>
      </c>
      <c r="I41" t="s">
        <v>565</v>
      </c>
      <c r="J41" s="8">
        <v>772000</v>
      </c>
      <c r="K41" t="s">
        <v>573</v>
      </c>
    </row>
    <row r="42" spans="1:11" ht="17">
      <c r="A42">
        <v>41</v>
      </c>
      <c r="B42" s="5">
        <v>45739</v>
      </c>
      <c r="C42" t="s">
        <v>15</v>
      </c>
      <c r="D42" t="s">
        <v>33</v>
      </c>
      <c r="E42" t="s">
        <v>56</v>
      </c>
      <c r="F42" t="s">
        <v>99</v>
      </c>
      <c r="G42" t="s">
        <v>556</v>
      </c>
      <c r="H42" t="s">
        <v>564</v>
      </c>
      <c r="I42" t="s">
        <v>568</v>
      </c>
      <c r="J42" s="8">
        <v>6000</v>
      </c>
      <c r="K42" t="s">
        <v>572</v>
      </c>
    </row>
    <row r="43" spans="1:11" ht="17">
      <c r="A43">
        <v>42</v>
      </c>
      <c r="B43" s="5">
        <v>45741</v>
      </c>
      <c r="C43" t="s">
        <v>29</v>
      </c>
      <c r="D43" t="s">
        <v>38</v>
      </c>
      <c r="E43" t="s">
        <v>39</v>
      </c>
      <c r="F43" t="s">
        <v>100</v>
      </c>
      <c r="G43" t="s">
        <v>557</v>
      </c>
      <c r="H43" t="s">
        <v>562</v>
      </c>
      <c r="I43" t="s">
        <v>569</v>
      </c>
      <c r="J43" s="8">
        <v>398000</v>
      </c>
      <c r="K43" t="s">
        <v>573</v>
      </c>
    </row>
    <row r="44" spans="1:11" ht="17">
      <c r="A44">
        <v>43</v>
      </c>
      <c r="B44" s="5">
        <v>45743</v>
      </c>
      <c r="C44" t="s">
        <v>17</v>
      </c>
      <c r="D44" t="s">
        <v>34</v>
      </c>
      <c r="E44" t="s">
        <v>42</v>
      </c>
      <c r="F44" t="s">
        <v>101</v>
      </c>
      <c r="G44" t="s">
        <v>558</v>
      </c>
      <c r="H44" t="s">
        <v>563</v>
      </c>
      <c r="I44" t="s">
        <v>568</v>
      </c>
      <c r="J44" s="8">
        <v>166500</v>
      </c>
      <c r="K44" t="s">
        <v>571</v>
      </c>
    </row>
    <row r="45" spans="1:11" ht="17">
      <c r="A45">
        <v>44</v>
      </c>
      <c r="B45" s="5">
        <v>45745</v>
      </c>
      <c r="C45" t="s">
        <v>28</v>
      </c>
      <c r="D45" t="s">
        <v>33</v>
      </c>
      <c r="E45" t="s">
        <v>43</v>
      </c>
      <c r="F45" t="s">
        <v>102</v>
      </c>
      <c r="G45" t="s">
        <v>559</v>
      </c>
      <c r="H45" t="s">
        <v>562</v>
      </c>
      <c r="I45" t="s">
        <v>568</v>
      </c>
      <c r="J45" s="8">
        <v>63000</v>
      </c>
      <c r="K45" t="s">
        <v>571</v>
      </c>
    </row>
    <row r="46" spans="1:11" ht="17">
      <c r="A46">
        <v>45</v>
      </c>
      <c r="B46" s="5">
        <v>45747</v>
      </c>
      <c r="C46" t="s">
        <v>25</v>
      </c>
      <c r="D46" t="s">
        <v>34</v>
      </c>
      <c r="E46" t="s">
        <v>52</v>
      </c>
      <c r="F46" t="s">
        <v>103</v>
      </c>
      <c r="G46" t="s">
        <v>560</v>
      </c>
      <c r="H46" t="s">
        <v>562</v>
      </c>
      <c r="I46" t="s">
        <v>566</v>
      </c>
      <c r="J46" s="8">
        <v>43000</v>
      </c>
      <c r="K46" t="s">
        <v>572</v>
      </c>
    </row>
    <row r="47" spans="1:11" ht="17">
      <c r="A47">
        <v>46</v>
      </c>
      <c r="B47" s="5">
        <v>45748</v>
      </c>
      <c r="C47" t="s">
        <v>28</v>
      </c>
      <c r="D47" t="s">
        <v>33</v>
      </c>
      <c r="E47" t="s">
        <v>53</v>
      </c>
      <c r="F47" t="s">
        <v>104</v>
      </c>
      <c r="G47" t="s">
        <v>552</v>
      </c>
      <c r="H47" t="s">
        <v>563</v>
      </c>
      <c r="I47" t="s">
        <v>568</v>
      </c>
      <c r="J47" s="8">
        <v>129500</v>
      </c>
      <c r="K47" t="s">
        <v>572</v>
      </c>
    </row>
    <row r="48" spans="1:11" ht="17">
      <c r="A48">
        <v>47</v>
      </c>
      <c r="B48" s="5">
        <v>45749</v>
      </c>
      <c r="C48" t="s">
        <v>30</v>
      </c>
      <c r="D48" t="s">
        <v>33</v>
      </c>
      <c r="E48" t="s">
        <v>53</v>
      </c>
      <c r="F48" t="s">
        <v>105</v>
      </c>
      <c r="G48" t="s">
        <v>551</v>
      </c>
      <c r="H48" t="s">
        <v>563</v>
      </c>
      <c r="I48" t="s">
        <v>566</v>
      </c>
      <c r="J48" s="8">
        <v>646500</v>
      </c>
      <c r="K48" t="s">
        <v>572</v>
      </c>
    </row>
    <row r="49" spans="1:11" ht="17">
      <c r="A49">
        <v>48</v>
      </c>
      <c r="B49" s="5">
        <v>45751</v>
      </c>
      <c r="C49" t="s">
        <v>26</v>
      </c>
      <c r="D49" t="s">
        <v>35</v>
      </c>
      <c r="E49" t="s">
        <v>51</v>
      </c>
      <c r="F49" t="s">
        <v>106</v>
      </c>
      <c r="G49" t="s">
        <v>550</v>
      </c>
      <c r="H49" t="s">
        <v>562</v>
      </c>
      <c r="I49" t="s">
        <v>568</v>
      </c>
      <c r="J49" s="8">
        <v>185000</v>
      </c>
      <c r="K49" t="s">
        <v>572</v>
      </c>
    </row>
    <row r="50" spans="1:11" ht="17">
      <c r="A50">
        <v>49</v>
      </c>
      <c r="B50" s="5">
        <v>45752</v>
      </c>
      <c r="C50" t="s">
        <v>18</v>
      </c>
      <c r="D50" t="s">
        <v>35</v>
      </c>
      <c r="E50" t="s">
        <v>51</v>
      </c>
      <c r="F50" t="s">
        <v>107</v>
      </c>
      <c r="G50" t="s">
        <v>553</v>
      </c>
      <c r="H50" t="s">
        <v>562</v>
      </c>
      <c r="I50" t="s">
        <v>565</v>
      </c>
      <c r="J50" s="8">
        <v>48500</v>
      </c>
      <c r="K50" t="s">
        <v>573</v>
      </c>
    </row>
    <row r="51" spans="1:11" ht="17">
      <c r="A51">
        <v>50</v>
      </c>
      <c r="B51" s="5">
        <v>45755</v>
      </c>
      <c r="C51" t="s">
        <v>20</v>
      </c>
      <c r="D51" t="s">
        <v>33</v>
      </c>
      <c r="E51" t="s">
        <v>56</v>
      </c>
      <c r="F51" t="s">
        <v>108</v>
      </c>
      <c r="G51" t="s">
        <v>554</v>
      </c>
      <c r="H51" t="s">
        <v>563</v>
      </c>
      <c r="I51" t="s">
        <v>565</v>
      </c>
      <c r="J51" s="8">
        <v>497000</v>
      </c>
      <c r="K51" t="s">
        <v>572</v>
      </c>
    </row>
    <row r="52" spans="1:11" ht="17">
      <c r="A52">
        <v>51</v>
      </c>
      <c r="B52" s="5">
        <v>45757</v>
      </c>
      <c r="C52" t="s">
        <v>22</v>
      </c>
      <c r="D52" t="s">
        <v>37</v>
      </c>
      <c r="E52" t="s">
        <v>49</v>
      </c>
      <c r="F52" t="s">
        <v>109</v>
      </c>
      <c r="G52" t="s">
        <v>555</v>
      </c>
      <c r="H52" t="s">
        <v>562</v>
      </c>
      <c r="I52" t="s">
        <v>568</v>
      </c>
      <c r="J52" s="8">
        <v>719000</v>
      </c>
      <c r="K52" t="s">
        <v>572</v>
      </c>
    </row>
    <row r="53" spans="1:11" ht="17">
      <c r="A53">
        <v>52</v>
      </c>
      <c r="B53" s="5">
        <v>45758</v>
      </c>
      <c r="C53" t="s">
        <v>19</v>
      </c>
      <c r="D53" t="s">
        <v>36</v>
      </c>
      <c r="E53" t="s">
        <v>41</v>
      </c>
      <c r="F53" t="s">
        <v>110</v>
      </c>
      <c r="G53" t="s">
        <v>556</v>
      </c>
      <c r="H53" t="s">
        <v>564</v>
      </c>
      <c r="I53" t="s">
        <v>567</v>
      </c>
      <c r="J53" s="8">
        <v>160000</v>
      </c>
      <c r="K53" t="s">
        <v>572</v>
      </c>
    </row>
    <row r="54" spans="1:11" ht="17">
      <c r="A54">
        <v>53</v>
      </c>
      <c r="B54" s="5">
        <v>45759</v>
      </c>
      <c r="C54" t="s">
        <v>18</v>
      </c>
      <c r="D54" t="s">
        <v>35</v>
      </c>
      <c r="E54" t="s">
        <v>50</v>
      </c>
      <c r="F54" t="s">
        <v>111</v>
      </c>
      <c r="G54" t="s">
        <v>557</v>
      </c>
      <c r="H54" t="s">
        <v>562</v>
      </c>
      <c r="I54" t="s">
        <v>565</v>
      </c>
      <c r="J54" s="8">
        <v>119000</v>
      </c>
      <c r="K54" t="s">
        <v>572</v>
      </c>
    </row>
    <row r="55" spans="1:11" ht="17">
      <c r="A55">
        <v>54</v>
      </c>
      <c r="B55" s="5">
        <v>45762</v>
      </c>
      <c r="C55" t="s">
        <v>19</v>
      </c>
      <c r="D55" t="s">
        <v>36</v>
      </c>
      <c r="E55" t="s">
        <v>56</v>
      </c>
      <c r="F55" t="s">
        <v>112</v>
      </c>
      <c r="G55" t="s">
        <v>561</v>
      </c>
      <c r="H55" t="s">
        <v>562</v>
      </c>
      <c r="I55" t="s">
        <v>567</v>
      </c>
      <c r="J55" s="8">
        <v>14500</v>
      </c>
      <c r="K55" t="s">
        <v>571</v>
      </c>
    </row>
    <row r="56" spans="1:11" ht="17">
      <c r="A56">
        <v>55</v>
      </c>
      <c r="B56" s="5">
        <v>45763</v>
      </c>
      <c r="C56" t="s">
        <v>21</v>
      </c>
      <c r="D56" t="s">
        <v>37</v>
      </c>
      <c r="E56" t="s">
        <v>48</v>
      </c>
      <c r="F56" t="s">
        <v>113</v>
      </c>
      <c r="G56" t="s">
        <v>558</v>
      </c>
      <c r="H56" t="s">
        <v>563</v>
      </c>
      <c r="I56" t="s">
        <v>568</v>
      </c>
      <c r="J56" s="8">
        <v>782000</v>
      </c>
      <c r="K56" t="s">
        <v>570</v>
      </c>
    </row>
    <row r="57" spans="1:11" ht="17">
      <c r="A57">
        <v>56</v>
      </c>
      <c r="B57" s="5">
        <v>45764</v>
      </c>
      <c r="C57" t="s">
        <v>12</v>
      </c>
      <c r="D57" t="s">
        <v>38</v>
      </c>
      <c r="E57" t="s">
        <v>42</v>
      </c>
      <c r="F57" t="s">
        <v>114</v>
      </c>
      <c r="G57" t="s">
        <v>559</v>
      </c>
      <c r="H57" t="s">
        <v>564</v>
      </c>
      <c r="I57" t="s">
        <v>569</v>
      </c>
      <c r="J57" s="8">
        <v>36500</v>
      </c>
      <c r="K57" t="s">
        <v>572</v>
      </c>
    </row>
    <row r="58" spans="1:11" ht="17">
      <c r="A58">
        <v>57</v>
      </c>
      <c r="B58" s="5">
        <v>45766</v>
      </c>
      <c r="C58" t="s">
        <v>29</v>
      </c>
      <c r="D58" t="s">
        <v>38</v>
      </c>
      <c r="E58" t="s">
        <v>39</v>
      </c>
      <c r="F58" t="s">
        <v>115</v>
      </c>
      <c r="G58" t="s">
        <v>552</v>
      </c>
      <c r="H58" t="s">
        <v>562</v>
      </c>
      <c r="I58" t="s">
        <v>569</v>
      </c>
      <c r="J58" s="8">
        <v>26500</v>
      </c>
      <c r="K58" t="s">
        <v>572</v>
      </c>
    </row>
    <row r="59" spans="1:11" ht="17">
      <c r="A59">
        <v>58</v>
      </c>
      <c r="B59" s="5">
        <v>45768</v>
      </c>
      <c r="C59" t="s">
        <v>21</v>
      </c>
      <c r="D59" t="s">
        <v>37</v>
      </c>
      <c r="E59" t="s">
        <v>48</v>
      </c>
      <c r="F59" t="s">
        <v>116</v>
      </c>
      <c r="G59" t="s">
        <v>551</v>
      </c>
      <c r="H59" t="s">
        <v>562</v>
      </c>
      <c r="I59" t="s">
        <v>566</v>
      </c>
      <c r="J59" s="8">
        <v>16000</v>
      </c>
      <c r="K59" t="s">
        <v>572</v>
      </c>
    </row>
    <row r="60" spans="1:11" ht="17">
      <c r="A60">
        <v>59</v>
      </c>
      <c r="B60" s="5">
        <v>45771</v>
      </c>
      <c r="C60" t="s">
        <v>15</v>
      </c>
      <c r="D60" t="s">
        <v>33</v>
      </c>
      <c r="E60" t="s">
        <v>56</v>
      </c>
      <c r="F60" t="s">
        <v>117</v>
      </c>
      <c r="G60" t="s">
        <v>550</v>
      </c>
      <c r="H60" t="s">
        <v>564</v>
      </c>
      <c r="I60" t="s">
        <v>568</v>
      </c>
      <c r="J60" s="8">
        <v>476000</v>
      </c>
      <c r="K60" t="s">
        <v>571</v>
      </c>
    </row>
    <row r="61" spans="1:11" ht="17">
      <c r="A61">
        <v>60</v>
      </c>
      <c r="B61" s="5">
        <v>45773</v>
      </c>
      <c r="C61" t="s">
        <v>17</v>
      </c>
      <c r="D61" t="s">
        <v>34</v>
      </c>
      <c r="E61" t="s">
        <v>57</v>
      </c>
      <c r="F61" t="s">
        <v>118</v>
      </c>
      <c r="G61" t="s">
        <v>553</v>
      </c>
      <c r="H61" t="s">
        <v>562</v>
      </c>
      <c r="I61" t="s">
        <v>566</v>
      </c>
      <c r="J61" s="8">
        <v>357500</v>
      </c>
      <c r="K61" t="s">
        <v>573</v>
      </c>
    </row>
    <row r="62" spans="1:11" ht="17">
      <c r="A62">
        <v>61</v>
      </c>
      <c r="B62" s="5">
        <v>45774</v>
      </c>
      <c r="C62" t="s">
        <v>15</v>
      </c>
      <c r="D62" t="s">
        <v>33</v>
      </c>
      <c r="E62" t="s">
        <v>43</v>
      </c>
      <c r="F62" t="s">
        <v>119</v>
      </c>
      <c r="G62" t="s">
        <v>554</v>
      </c>
      <c r="H62" t="s">
        <v>564</v>
      </c>
      <c r="I62" t="s">
        <v>566</v>
      </c>
      <c r="J62" s="8">
        <v>45000</v>
      </c>
      <c r="K62" t="s">
        <v>571</v>
      </c>
    </row>
    <row r="63" spans="1:11" ht="17">
      <c r="A63">
        <v>62</v>
      </c>
      <c r="B63" s="5">
        <v>45776</v>
      </c>
      <c r="C63" t="s">
        <v>30</v>
      </c>
      <c r="D63" t="s">
        <v>33</v>
      </c>
      <c r="E63" t="s">
        <v>43</v>
      </c>
      <c r="F63" t="s">
        <v>120</v>
      </c>
      <c r="G63" t="s">
        <v>555</v>
      </c>
      <c r="H63" t="s">
        <v>564</v>
      </c>
      <c r="I63" t="s">
        <v>566</v>
      </c>
      <c r="J63" s="8">
        <v>28500</v>
      </c>
      <c r="K63" t="s">
        <v>573</v>
      </c>
    </row>
    <row r="64" spans="1:11" ht="17">
      <c r="A64">
        <v>63</v>
      </c>
      <c r="B64" s="5">
        <v>45778</v>
      </c>
      <c r="C64" t="s">
        <v>23</v>
      </c>
      <c r="D64" t="s">
        <v>35</v>
      </c>
      <c r="E64" t="s">
        <v>50</v>
      </c>
      <c r="F64" t="s">
        <v>121</v>
      </c>
      <c r="G64" t="s">
        <v>556</v>
      </c>
      <c r="H64" t="s">
        <v>563</v>
      </c>
      <c r="I64" t="s">
        <v>568</v>
      </c>
      <c r="J64" s="8">
        <v>433000</v>
      </c>
      <c r="K64" t="s">
        <v>571</v>
      </c>
    </row>
    <row r="65" spans="1:11" ht="17">
      <c r="A65">
        <v>64</v>
      </c>
      <c r="B65" s="5">
        <v>45780</v>
      </c>
      <c r="C65" t="s">
        <v>22</v>
      </c>
      <c r="D65" t="s">
        <v>37</v>
      </c>
      <c r="E65" t="s">
        <v>49</v>
      </c>
      <c r="F65" t="s">
        <v>122</v>
      </c>
      <c r="G65" t="s">
        <v>557</v>
      </c>
      <c r="H65" t="s">
        <v>564</v>
      </c>
      <c r="I65" t="s">
        <v>567</v>
      </c>
      <c r="J65" s="8">
        <v>138000</v>
      </c>
      <c r="K65" t="s">
        <v>572</v>
      </c>
    </row>
    <row r="66" spans="1:11" ht="17">
      <c r="A66">
        <v>65</v>
      </c>
      <c r="B66" s="5">
        <v>45782</v>
      </c>
      <c r="C66" t="s">
        <v>19</v>
      </c>
      <c r="D66" t="s">
        <v>36</v>
      </c>
      <c r="E66" t="s">
        <v>41</v>
      </c>
      <c r="F66" t="s">
        <v>123</v>
      </c>
      <c r="G66" t="s">
        <v>560</v>
      </c>
      <c r="H66" t="s">
        <v>562</v>
      </c>
      <c r="I66" t="s">
        <v>567</v>
      </c>
      <c r="J66" s="8">
        <v>30000</v>
      </c>
      <c r="K66" t="s">
        <v>571</v>
      </c>
    </row>
    <row r="67" spans="1:11" ht="17">
      <c r="A67">
        <v>66</v>
      </c>
      <c r="B67" s="5">
        <v>45785</v>
      </c>
      <c r="C67" t="s">
        <v>14</v>
      </c>
      <c r="D67" t="s">
        <v>38</v>
      </c>
      <c r="E67" t="s">
        <v>39</v>
      </c>
      <c r="F67" t="s">
        <v>124</v>
      </c>
      <c r="G67" t="s">
        <v>558</v>
      </c>
      <c r="H67" t="s">
        <v>562</v>
      </c>
      <c r="I67" t="s">
        <v>568</v>
      </c>
      <c r="J67" s="8">
        <v>17000</v>
      </c>
      <c r="K67" t="s">
        <v>572</v>
      </c>
    </row>
    <row r="68" spans="1:11" ht="17">
      <c r="A68">
        <v>67</v>
      </c>
      <c r="B68" s="5">
        <v>45787</v>
      </c>
      <c r="C68" t="s">
        <v>14</v>
      </c>
      <c r="D68" t="s">
        <v>38</v>
      </c>
      <c r="E68" t="s">
        <v>54</v>
      </c>
      <c r="F68" t="s">
        <v>125</v>
      </c>
      <c r="G68" t="s">
        <v>559</v>
      </c>
      <c r="H68" t="s">
        <v>562</v>
      </c>
      <c r="I68" t="s">
        <v>568</v>
      </c>
      <c r="J68" s="8">
        <v>144000</v>
      </c>
      <c r="K68" t="s">
        <v>572</v>
      </c>
    </row>
    <row r="69" spans="1:11" ht="17">
      <c r="A69">
        <v>68</v>
      </c>
      <c r="B69" s="5">
        <v>45788</v>
      </c>
      <c r="C69" t="s">
        <v>28</v>
      </c>
      <c r="D69" t="s">
        <v>33</v>
      </c>
      <c r="E69" t="s">
        <v>56</v>
      </c>
      <c r="F69" t="s">
        <v>126</v>
      </c>
      <c r="G69" t="s">
        <v>552</v>
      </c>
      <c r="H69" t="s">
        <v>563</v>
      </c>
      <c r="I69" t="s">
        <v>566</v>
      </c>
      <c r="J69" s="8">
        <v>337500</v>
      </c>
      <c r="K69" t="s">
        <v>573</v>
      </c>
    </row>
    <row r="70" spans="1:11" ht="17">
      <c r="A70">
        <v>69</v>
      </c>
      <c r="B70" s="5">
        <v>45789</v>
      </c>
      <c r="C70" t="s">
        <v>23</v>
      </c>
      <c r="D70" t="s">
        <v>35</v>
      </c>
      <c r="E70" t="s">
        <v>46</v>
      </c>
      <c r="F70" t="s">
        <v>127</v>
      </c>
      <c r="G70" t="s">
        <v>551</v>
      </c>
      <c r="H70" t="s">
        <v>563</v>
      </c>
      <c r="I70" t="s">
        <v>565</v>
      </c>
      <c r="J70" s="8">
        <v>47500</v>
      </c>
      <c r="K70" t="s">
        <v>570</v>
      </c>
    </row>
    <row r="71" spans="1:11" ht="17">
      <c r="A71">
        <v>70</v>
      </c>
      <c r="B71" s="5">
        <v>45791</v>
      </c>
      <c r="C71" t="s">
        <v>26</v>
      </c>
      <c r="D71" t="s">
        <v>35</v>
      </c>
      <c r="E71" t="s">
        <v>51</v>
      </c>
      <c r="F71" t="s">
        <v>128</v>
      </c>
      <c r="G71" t="s">
        <v>550</v>
      </c>
      <c r="H71" t="s">
        <v>564</v>
      </c>
      <c r="I71" t="s">
        <v>567</v>
      </c>
      <c r="J71" s="8">
        <v>16500</v>
      </c>
      <c r="K71" t="s">
        <v>572</v>
      </c>
    </row>
    <row r="72" spans="1:11" ht="17">
      <c r="A72">
        <v>71</v>
      </c>
      <c r="B72" s="5">
        <v>45793</v>
      </c>
      <c r="C72" t="s">
        <v>16</v>
      </c>
      <c r="D72" t="s">
        <v>34</v>
      </c>
      <c r="E72" t="s">
        <v>57</v>
      </c>
      <c r="F72" t="s">
        <v>129</v>
      </c>
      <c r="G72" t="s">
        <v>553</v>
      </c>
      <c r="H72" t="s">
        <v>564</v>
      </c>
      <c r="I72" t="s">
        <v>567</v>
      </c>
      <c r="J72" s="8">
        <v>150000</v>
      </c>
      <c r="K72" t="s">
        <v>573</v>
      </c>
    </row>
    <row r="73" spans="1:11" ht="17">
      <c r="A73">
        <v>72</v>
      </c>
      <c r="B73" s="5">
        <v>45795</v>
      </c>
      <c r="C73" t="s">
        <v>26</v>
      </c>
      <c r="D73" t="s">
        <v>35</v>
      </c>
      <c r="E73" t="s">
        <v>51</v>
      </c>
      <c r="F73" t="s">
        <v>130</v>
      </c>
      <c r="G73" t="s">
        <v>554</v>
      </c>
      <c r="H73" t="s">
        <v>562</v>
      </c>
      <c r="I73" t="s">
        <v>565</v>
      </c>
      <c r="J73" s="8">
        <v>90000</v>
      </c>
      <c r="K73" t="s">
        <v>571</v>
      </c>
    </row>
    <row r="74" spans="1:11" ht="17">
      <c r="A74">
        <v>73</v>
      </c>
      <c r="B74" s="5">
        <v>45797</v>
      </c>
      <c r="C74" t="s">
        <v>14</v>
      </c>
      <c r="D74" t="s">
        <v>38</v>
      </c>
      <c r="E74" t="s">
        <v>58</v>
      </c>
      <c r="F74" t="s">
        <v>131</v>
      </c>
      <c r="G74" t="s">
        <v>561</v>
      </c>
      <c r="H74" t="s">
        <v>564</v>
      </c>
      <c r="I74" t="s">
        <v>568</v>
      </c>
      <c r="J74" s="8">
        <v>790500</v>
      </c>
      <c r="K74" t="s">
        <v>572</v>
      </c>
    </row>
    <row r="75" spans="1:11" ht="17">
      <c r="A75">
        <v>74</v>
      </c>
      <c r="B75" s="5">
        <v>45799</v>
      </c>
      <c r="C75" t="s">
        <v>29</v>
      </c>
      <c r="D75" t="s">
        <v>38</v>
      </c>
      <c r="E75" t="s">
        <v>39</v>
      </c>
      <c r="F75" t="s">
        <v>132</v>
      </c>
      <c r="G75" t="s">
        <v>555</v>
      </c>
      <c r="H75" t="s">
        <v>563</v>
      </c>
      <c r="I75" t="s">
        <v>566</v>
      </c>
      <c r="J75" s="8">
        <v>84500</v>
      </c>
      <c r="K75" t="s">
        <v>573</v>
      </c>
    </row>
    <row r="76" spans="1:11" ht="17">
      <c r="A76">
        <v>75</v>
      </c>
      <c r="B76" s="5">
        <v>45801</v>
      </c>
      <c r="C76" t="s">
        <v>14</v>
      </c>
      <c r="D76" t="s">
        <v>38</v>
      </c>
      <c r="E76" t="s">
        <v>39</v>
      </c>
      <c r="F76" t="s">
        <v>133</v>
      </c>
      <c r="G76" t="s">
        <v>556</v>
      </c>
      <c r="H76" t="s">
        <v>563</v>
      </c>
      <c r="I76" t="s">
        <v>568</v>
      </c>
      <c r="J76" s="8">
        <v>20000</v>
      </c>
      <c r="K76" t="s">
        <v>572</v>
      </c>
    </row>
    <row r="77" spans="1:11" ht="17">
      <c r="A77">
        <v>76</v>
      </c>
      <c r="B77" s="5">
        <v>45803</v>
      </c>
      <c r="C77" t="s">
        <v>25</v>
      </c>
      <c r="D77" t="s">
        <v>34</v>
      </c>
      <c r="E77" t="s">
        <v>42</v>
      </c>
      <c r="F77" t="s">
        <v>134</v>
      </c>
      <c r="G77" t="s">
        <v>557</v>
      </c>
      <c r="H77" t="s">
        <v>564</v>
      </c>
      <c r="I77" t="s">
        <v>569</v>
      </c>
      <c r="J77" s="8">
        <v>11500</v>
      </c>
      <c r="K77" t="s">
        <v>573</v>
      </c>
    </row>
    <row r="78" spans="1:11" ht="17">
      <c r="A78">
        <v>77</v>
      </c>
      <c r="B78" s="5">
        <v>45806</v>
      </c>
      <c r="C78" t="s">
        <v>17</v>
      </c>
      <c r="D78" t="s">
        <v>34</v>
      </c>
      <c r="E78" t="s">
        <v>44</v>
      </c>
      <c r="F78" t="s">
        <v>135</v>
      </c>
      <c r="G78" t="s">
        <v>558</v>
      </c>
      <c r="H78" t="s">
        <v>563</v>
      </c>
      <c r="I78" t="s">
        <v>566</v>
      </c>
      <c r="J78" s="8">
        <v>238500</v>
      </c>
      <c r="K78" t="s">
        <v>572</v>
      </c>
    </row>
    <row r="79" spans="1:11" ht="17">
      <c r="A79">
        <v>78</v>
      </c>
      <c r="B79" s="5">
        <v>45808</v>
      </c>
      <c r="C79" t="s">
        <v>17</v>
      </c>
      <c r="D79" t="s">
        <v>34</v>
      </c>
      <c r="E79" t="s">
        <v>44</v>
      </c>
      <c r="F79" t="s">
        <v>136</v>
      </c>
      <c r="G79" t="s">
        <v>559</v>
      </c>
      <c r="H79" t="s">
        <v>564</v>
      </c>
      <c r="I79" t="s">
        <v>567</v>
      </c>
      <c r="J79" s="8">
        <v>111500</v>
      </c>
      <c r="K79" t="s">
        <v>570</v>
      </c>
    </row>
    <row r="80" spans="1:11" ht="17">
      <c r="A80">
        <v>79</v>
      </c>
      <c r="B80" s="5">
        <v>45810</v>
      </c>
      <c r="C80" t="s">
        <v>23</v>
      </c>
      <c r="D80" t="s">
        <v>35</v>
      </c>
      <c r="E80" t="s">
        <v>58</v>
      </c>
      <c r="F80" t="s">
        <v>137</v>
      </c>
      <c r="G80" t="s">
        <v>560</v>
      </c>
      <c r="H80" t="s">
        <v>563</v>
      </c>
      <c r="I80" t="s">
        <v>568</v>
      </c>
      <c r="J80" s="8">
        <v>16000</v>
      </c>
      <c r="K80" t="s">
        <v>572</v>
      </c>
    </row>
    <row r="81" spans="1:11" ht="17">
      <c r="A81">
        <v>80</v>
      </c>
      <c r="B81" s="5">
        <v>45811</v>
      </c>
      <c r="C81" t="s">
        <v>22</v>
      </c>
      <c r="D81" t="s">
        <v>37</v>
      </c>
      <c r="E81" t="s">
        <v>39</v>
      </c>
      <c r="F81" t="s">
        <v>138</v>
      </c>
      <c r="G81" t="s">
        <v>552</v>
      </c>
      <c r="H81" t="s">
        <v>562</v>
      </c>
      <c r="I81" t="s">
        <v>567</v>
      </c>
      <c r="J81" s="8">
        <v>229000</v>
      </c>
      <c r="K81" t="s">
        <v>570</v>
      </c>
    </row>
    <row r="82" spans="1:11" ht="17">
      <c r="A82">
        <v>81</v>
      </c>
      <c r="B82" s="5">
        <v>45813</v>
      </c>
      <c r="C82" t="s">
        <v>21</v>
      </c>
      <c r="D82" t="s">
        <v>37</v>
      </c>
      <c r="E82" t="s">
        <v>49</v>
      </c>
      <c r="F82" t="s">
        <v>139</v>
      </c>
      <c r="G82" t="s">
        <v>551</v>
      </c>
      <c r="H82" t="s">
        <v>563</v>
      </c>
      <c r="I82" t="s">
        <v>568</v>
      </c>
      <c r="J82" s="8">
        <v>654500</v>
      </c>
      <c r="K82" t="s">
        <v>570</v>
      </c>
    </row>
    <row r="83" spans="1:11" ht="17">
      <c r="A83">
        <v>82</v>
      </c>
      <c r="B83" s="5">
        <v>45815</v>
      </c>
      <c r="C83" t="s">
        <v>28</v>
      </c>
      <c r="D83" t="s">
        <v>33</v>
      </c>
      <c r="E83" t="s">
        <v>41</v>
      </c>
      <c r="F83" t="s">
        <v>140</v>
      </c>
      <c r="G83" t="s">
        <v>550</v>
      </c>
      <c r="H83" t="s">
        <v>564</v>
      </c>
      <c r="I83" t="s">
        <v>568</v>
      </c>
      <c r="J83" s="8">
        <v>571500</v>
      </c>
      <c r="K83" t="s">
        <v>571</v>
      </c>
    </row>
    <row r="84" spans="1:11" ht="17">
      <c r="A84">
        <v>83</v>
      </c>
      <c r="B84" s="5">
        <v>45817</v>
      </c>
      <c r="C84" t="s">
        <v>25</v>
      </c>
      <c r="D84" t="s">
        <v>34</v>
      </c>
      <c r="E84" t="s">
        <v>55</v>
      </c>
      <c r="F84" t="s">
        <v>141</v>
      </c>
      <c r="G84" t="s">
        <v>553</v>
      </c>
      <c r="H84" t="s">
        <v>562</v>
      </c>
      <c r="I84" t="s">
        <v>566</v>
      </c>
      <c r="J84" s="8">
        <v>38500</v>
      </c>
      <c r="K84" t="s">
        <v>572</v>
      </c>
    </row>
    <row r="85" spans="1:11" ht="17">
      <c r="A85">
        <v>84</v>
      </c>
      <c r="B85" s="5">
        <v>45820</v>
      </c>
      <c r="C85" t="s">
        <v>30</v>
      </c>
      <c r="D85" t="s">
        <v>33</v>
      </c>
      <c r="E85" t="s">
        <v>45</v>
      </c>
      <c r="F85" t="s">
        <v>142</v>
      </c>
      <c r="G85" t="s">
        <v>554</v>
      </c>
      <c r="H85" t="s">
        <v>562</v>
      </c>
      <c r="I85" t="s">
        <v>567</v>
      </c>
      <c r="J85" s="8">
        <v>129000</v>
      </c>
      <c r="K85" t="s">
        <v>572</v>
      </c>
    </row>
    <row r="86" spans="1:11" ht="17">
      <c r="A86">
        <v>85</v>
      </c>
      <c r="B86" s="5">
        <v>45823</v>
      </c>
      <c r="C86" t="s">
        <v>29</v>
      </c>
      <c r="D86" t="s">
        <v>38</v>
      </c>
      <c r="E86" t="s">
        <v>58</v>
      </c>
      <c r="F86" t="s">
        <v>143</v>
      </c>
      <c r="G86" t="s">
        <v>555</v>
      </c>
      <c r="H86" t="s">
        <v>562</v>
      </c>
      <c r="I86" t="s">
        <v>567</v>
      </c>
      <c r="J86" s="8">
        <v>135000</v>
      </c>
      <c r="K86" t="s">
        <v>572</v>
      </c>
    </row>
    <row r="87" spans="1:11" ht="17">
      <c r="A87">
        <v>86</v>
      </c>
      <c r="B87" s="5">
        <v>45824</v>
      </c>
      <c r="C87" t="s">
        <v>31</v>
      </c>
      <c r="D87" t="s">
        <v>33</v>
      </c>
      <c r="E87" t="s">
        <v>45</v>
      </c>
      <c r="F87" t="s">
        <v>144</v>
      </c>
      <c r="G87" t="s">
        <v>556</v>
      </c>
      <c r="H87" t="s">
        <v>562</v>
      </c>
      <c r="I87" t="s">
        <v>568</v>
      </c>
      <c r="J87" s="8">
        <v>145000</v>
      </c>
      <c r="K87" t="s">
        <v>572</v>
      </c>
    </row>
    <row r="88" spans="1:11" ht="17">
      <c r="A88">
        <v>87</v>
      </c>
      <c r="B88" s="5">
        <v>45826</v>
      </c>
      <c r="C88" t="s">
        <v>32</v>
      </c>
      <c r="D88" t="s">
        <v>35</v>
      </c>
      <c r="E88" t="s">
        <v>58</v>
      </c>
      <c r="F88" t="s">
        <v>145</v>
      </c>
      <c r="G88" t="s">
        <v>557</v>
      </c>
      <c r="H88" t="s">
        <v>562</v>
      </c>
      <c r="I88" t="s">
        <v>565</v>
      </c>
      <c r="J88" s="8">
        <v>231500</v>
      </c>
      <c r="K88" t="s">
        <v>573</v>
      </c>
    </row>
    <row r="89" spans="1:11" ht="17">
      <c r="A89">
        <v>88</v>
      </c>
      <c r="B89" s="5">
        <v>45828</v>
      </c>
      <c r="C89" t="s">
        <v>16</v>
      </c>
      <c r="D89" t="s">
        <v>34</v>
      </c>
      <c r="E89" t="s">
        <v>42</v>
      </c>
      <c r="F89" t="s">
        <v>146</v>
      </c>
      <c r="G89" t="s">
        <v>561</v>
      </c>
      <c r="H89" t="s">
        <v>564</v>
      </c>
      <c r="I89" t="s">
        <v>568</v>
      </c>
      <c r="J89" s="8">
        <v>475500</v>
      </c>
      <c r="K89" t="s">
        <v>572</v>
      </c>
    </row>
    <row r="90" spans="1:11" ht="17">
      <c r="A90">
        <v>89</v>
      </c>
      <c r="B90" s="5">
        <v>45829</v>
      </c>
      <c r="C90" t="s">
        <v>17</v>
      </c>
      <c r="D90" t="s">
        <v>34</v>
      </c>
      <c r="E90" t="s">
        <v>52</v>
      </c>
      <c r="F90" t="s">
        <v>147</v>
      </c>
      <c r="G90" t="s">
        <v>558</v>
      </c>
      <c r="H90" t="s">
        <v>563</v>
      </c>
      <c r="I90" t="s">
        <v>568</v>
      </c>
      <c r="J90" s="8">
        <v>206000</v>
      </c>
      <c r="K90" t="s">
        <v>572</v>
      </c>
    </row>
    <row r="91" spans="1:11" ht="17">
      <c r="A91">
        <v>90</v>
      </c>
      <c r="B91" s="5">
        <v>45832</v>
      </c>
      <c r="C91" t="s">
        <v>21</v>
      </c>
      <c r="D91" t="s">
        <v>37</v>
      </c>
      <c r="E91" t="s">
        <v>48</v>
      </c>
      <c r="F91" t="s">
        <v>148</v>
      </c>
      <c r="G91" t="s">
        <v>559</v>
      </c>
      <c r="H91" t="s">
        <v>562</v>
      </c>
      <c r="I91" t="s">
        <v>567</v>
      </c>
      <c r="J91" s="8">
        <v>50000</v>
      </c>
      <c r="K91" t="s">
        <v>570</v>
      </c>
    </row>
    <row r="92" spans="1:11" ht="17">
      <c r="A92">
        <v>91</v>
      </c>
      <c r="B92" s="5">
        <v>45834</v>
      </c>
      <c r="C92" t="s">
        <v>26</v>
      </c>
      <c r="D92" t="s">
        <v>35</v>
      </c>
      <c r="E92" t="s">
        <v>51</v>
      </c>
      <c r="F92" t="s">
        <v>149</v>
      </c>
      <c r="G92" t="s">
        <v>552</v>
      </c>
      <c r="H92" t="s">
        <v>562</v>
      </c>
      <c r="I92" t="s">
        <v>568</v>
      </c>
      <c r="J92" s="8">
        <v>45500</v>
      </c>
      <c r="K92" t="s">
        <v>570</v>
      </c>
    </row>
    <row r="93" spans="1:11" ht="17">
      <c r="A93">
        <v>92</v>
      </c>
      <c r="B93" s="5">
        <v>45836</v>
      </c>
      <c r="C93" t="s">
        <v>24</v>
      </c>
      <c r="D93" t="s">
        <v>35</v>
      </c>
      <c r="E93" t="s">
        <v>50</v>
      </c>
      <c r="F93" t="s">
        <v>150</v>
      </c>
      <c r="G93" t="s">
        <v>551</v>
      </c>
      <c r="H93" t="s">
        <v>564</v>
      </c>
      <c r="I93" t="s">
        <v>565</v>
      </c>
      <c r="J93" s="8">
        <v>238000</v>
      </c>
      <c r="K93" t="s">
        <v>570</v>
      </c>
    </row>
    <row r="94" spans="1:11" ht="17">
      <c r="A94">
        <v>93</v>
      </c>
      <c r="B94" s="5">
        <v>45838</v>
      </c>
      <c r="C94" t="s">
        <v>20</v>
      </c>
      <c r="D94" t="s">
        <v>33</v>
      </c>
      <c r="E94" t="s">
        <v>41</v>
      </c>
      <c r="F94" t="s">
        <v>151</v>
      </c>
      <c r="G94" t="s">
        <v>550</v>
      </c>
      <c r="H94" t="s">
        <v>564</v>
      </c>
      <c r="I94" t="s">
        <v>569</v>
      </c>
      <c r="J94" s="8">
        <v>225000</v>
      </c>
      <c r="K94" t="s">
        <v>573</v>
      </c>
    </row>
    <row r="95" spans="1:11" ht="17">
      <c r="A95">
        <v>94</v>
      </c>
      <c r="B95" s="5">
        <v>45839</v>
      </c>
      <c r="C95" t="s">
        <v>20</v>
      </c>
      <c r="D95" t="s">
        <v>33</v>
      </c>
      <c r="E95" t="s">
        <v>53</v>
      </c>
      <c r="F95" t="s">
        <v>152</v>
      </c>
      <c r="G95" t="s">
        <v>553</v>
      </c>
      <c r="H95" t="s">
        <v>562</v>
      </c>
      <c r="I95" t="s">
        <v>565</v>
      </c>
      <c r="J95" s="8">
        <v>15500</v>
      </c>
      <c r="K95" t="s">
        <v>571</v>
      </c>
    </row>
    <row r="96" spans="1:11" ht="17">
      <c r="A96">
        <v>95</v>
      </c>
      <c r="B96" s="5">
        <v>45841</v>
      </c>
      <c r="C96" t="s">
        <v>29</v>
      </c>
      <c r="D96" t="s">
        <v>38</v>
      </c>
      <c r="E96" t="s">
        <v>42</v>
      </c>
      <c r="F96" t="s">
        <v>153</v>
      </c>
      <c r="G96" t="s">
        <v>554</v>
      </c>
      <c r="H96" t="s">
        <v>563</v>
      </c>
      <c r="I96" t="s">
        <v>567</v>
      </c>
      <c r="J96" s="8">
        <v>27000</v>
      </c>
      <c r="K96" t="s">
        <v>572</v>
      </c>
    </row>
    <row r="97" spans="1:11" ht="17">
      <c r="A97">
        <v>96</v>
      </c>
      <c r="B97" s="5">
        <v>45843</v>
      </c>
      <c r="C97" t="s">
        <v>14</v>
      </c>
      <c r="D97" t="s">
        <v>38</v>
      </c>
      <c r="E97" t="s">
        <v>54</v>
      </c>
      <c r="F97" t="s">
        <v>154</v>
      </c>
      <c r="G97" t="s">
        <v>555</v>
      </c>
      <c r="H97" t="s">
        <v>562</v>
      </c>
      <c r="I97" t="s">
        <v>566</v>
      </c>
      <c r="J97" s="8">
        <v>507500</v>
      </c>
      <c r="K97" t="s">
        <v>572</v>
      </c>
    </row>
    <row r="98" spans="1:11" ht="17">
      <c r="A98">
        <v>97</v>
      </c>
      <c r="B98" s="5">
        <v>45846</v>
      </c>
      <c r="C98" t="s">
        <v>15</v>
      </c>
      <c r="D98" t="s">
        <v>33</v>
      </c>
      <c r="E98" t="s">
        <v>56</v>
      </c>
      <c r="F98" t="s">
        <v>155</v>
      </c>
      <c r="G98" t="s">
        <v>556</v>
      </c>
      <c r="H98" t="s">
        <v>562</v>
      </c>
      <c r="I98" t="s">
        <v>569</v>
      </c>
      <c r="J98" s="8">
        <v>403500</v>
      </c>
      <c r="K98" t="s">
        <v>571</v>
      </c>
    </row>
    <row r="99" spans="1:11" ht="17">
      <c r="A99">
        <v>98</v>
      </c>
      <c r="B99" s="5">
        <v>45848</v>
      </c>
      <c r="C99" t="s">
        <v>28</v>
      </c>
      <c r="D99" t="s">
        <v>33</v>
      </c>
      <c r="E99" t="s">
        <v>43</v>
      </c>
      <c r="F99" t="s">
        <v>156</v>
      </c>
      <c r="G99" t="s">
        <v>557</v>
      </c>
      <c r="H99" t="s">
        <v>562</v>
      </c>
      <c r="I99" t="s">
        <v>568</v>
      </c>
      <c r="J99" s="8">
        <v>173000</v>
      </c>
      <c r="K99" t="s">
        <v>573</v>
      </c>
    </row>
    <row r="100" spans="1:11" ht="17">
      <c r="A100">
        <v>99</v>
      </c>
      <c r="B100" s="5">
        <v>45850</v>
      </c>
      <c r="C100" t="s">
        <v>21</v>
      </c>
      <c r="D100" t="s">
        <v>37</v>
      </c>
      <c r="E100" t="s">
        <v>49</v>
      </c>
      <c r="F100" t="s">
        <v>157</v>
      </c>
      <c r="G100" t="s">
        <v>560</v>
      </c>
      <c r="H100" t="s">
        <v>562</v>
      </c>
      <c r="I100" t="s">
        <v>568</v>
      </c>
      <c r="J100" s="8">
        <v>173000</v>
      </c>
      <c r="K100" t="s">
        <v>572</v>
      </c>
    </row>
    <row r="101" spans="1:11" ht="17">
      <c r="A101">
        <v>100</v>
      </c>
      <c r="B101" s="5">
        <v>45853</v>
      </c>
      <c r="C101" t="s">
        <v>12</v>
      </c>
      <c r="D101" t="s">
        <v>38</v>
      </c>
      <c r="E101" t="s">
        <v>54</v>
      </c>
      <c r="F101" t="s">
        <v>158</v>
      </c>
      <c r="G101" t="s">
        <v>558</v>
      </c>
      <c r="H101" t="s">
        <v>564</v>
      </c>
      <c r="I101" t="s">
        <v>568</v>
      </c>
      <c r="J101" s="8">
        <v>130000</v>
      </c>
      <c r="K101" t="s">
        <v>571</v>
      </c>
    </row>
    <row r="102" spans="1:11" ht="17">
      <c r="A102">
        <v>101</v>
      </c>
      <c r="B102" s="5">
        <v>45856</v>
      </c>
      <c r="C102" t="s">
        <v>20</v>
      </c>
      <c r="D102" t="s">
        <v>33</v>
      </c>
      <c r="E102" t="s">
        <v>53</v>
      </c>
      <c r="F102" t="s">
        <v>159</v>
      </c>
      <c r="G102" t="s">
        <v>559</v>
      </c>
      <c r="H102" t="s">
        <v>563</v>
      </c>
      <c r="I102" t="s">
        <v>566</v>
      </c>
      <c r="J102" s="8">
        <v>81500</v>
      </c>
      <c r="K102" t="s">
        <v>572</v>
      </c>
    </row>
    <row r="103" spans="1:11" ht="17">
      <c r="A103">
        <v>102</v>
      </c>
      <c r="B103" s="5">
        <v>45858</v>
      </c>
      <c r="C103" t="s">
        <v>22</v>
      </c>
      <c r="D103" t="s">
        <v>37</v>
      </c>
      <c r="E103" t="s">
        <v>48</v>
      </c>
      <c r="F103" t="s">
        <v>160</v>
      </c>
      <c r="G103" t="s">
        <v>552</v>
      </c>
      <c r="H103" t="s">
        <v>564</v>
      </c>
      <c r="I103" t="s">
        <v>568</v>
      </c>
      <c r="J103" s="8">
        <v>8500</v>
      </c>
      <c r="K103" t="s">
        <v>571</v>
      </c>
    </row>
    <row r="104" spans="1:11" ht="17">
      <c r="A104">
        <v>103</v>
      </c>
      <c r="B104" s="5">
        <v>45861</v>
      </c>
      <c r="C104" t="s">
        <v>12</v>
      </c>
      <c r="D104" t="s">
        <v>38</v>
      </c>
      <c r="E104" t="s">
        <v>54</v>
      </c>
      <c r="F104" t="s">
        <v>161</v>
      </c>
      <c r="G104" t="s">
        <v>551</v>
      </c>
      <c r="H104" t="s">
        <v>563</v>
      </c>
      <c r="I104" t="s">
        <v>569</v>
      </c>
      <c r="J104" s="8">
        <v>40500</v>
      </c>
      <c r="K104" t="s">
        <v>572</v>
      </c>
    </row>
    <row r="105" spans="1:11" ht="17">
      <c r="A105">
        <v>104</v>
      </c>
      <c r="B105" s="5">
        <v>45863</v>
      </c>
      <c r="C105" t="s">
        <v>29</v>
      </c>
      <c r="D105" t="s">
        <v>38</v>
      </c>
      <c r="E105" t="s">
        <v>58</v>
      </c>
      <c r="F105" t="s">
        <v>162</v>
      </c>
      <c r="G105" t="s">
        <v>550</v>
      </c>
      <c r="H105" t="s">
        <v>564</v>
      </c>
      <c r="I105" t="s">
        <v>568</v>
      </c>
      <c r="J105" s="8">
        <v>93500</v>
      </c>
      <c r="K105" t="s">
        <v>572</v>
      </c>
    </row>
    <row r="106" spans="1:11" ht="17">
      <c r="A106">
        <v>105</v>
      </c>
      <c r="B106" s="5">
        <v>45865</v>
      </c>
      <c r="C106" t="s">
        <v>25</v>
      </c>
      <c r="D106" t="s">
        <v>34</v>
      </c>
      <c r="E106" t="s">
        <v>44</v>
      </c>
      <c r="F106" t="s">
        <v>163</v>
      </c>
      <c r="G106" t="s">
        <v>553</v>
      </c>
      <c r="H106" t="s">
        <v>562</v>
      </c>
      <c r="I106" t="s">
        <v>566</v>
      </c>
      <c r="J106" s="8">
        <v>130000</v>
      </c>
      <c r="K106" t="s">
        <v>572</v>
      </c>
    </row>
    <row r="107" spans="1:11" ht="17">
      <c r="A107">
        <v>106</v>
      </c>
      <c r="B107" s="5">
        <v>45867</v>
      </c>
      <c r="C107" t="s">
        <v>20</v>
      </c>
      <c r="D107" t="s">
        <v>33</v>
      </c>
      <c r="E107" t="s">
        <v>45</v>
      </c>
      <c r="F107" t="s">
        <v>164</v>
      </c>
      <c r="G107" t="s">
        <v>554</v>
      </c>
      <c r="H107" t="s">
        <v>564</v>
      </c>
      <c r="I107" t="s">
        <v>565</v>
      </c>
      <c r="J107" s="8">
        <v>175000</v>
      </c>
      <c r="K107" t="s">
        <v>573</v>
      </c>
    </row>
    <row r="108" spans="1:11" ht="17">
      <c r="A108">
        <v>107</v>
      </c>
      <c r="B108" s="5">
        <v>45869</v>
      </c>
      <c r="C108" t="s">
        <v>31</v>
      </c>
      <c r="D108" t="s">
        <v>33</v>
      </c>
      <c r="E108" t="s">
        <v>53</v>
      </c>
      <c r="F108" t="s">
        <v>165</v>
      </c>
      <c r="G108" t="s">
        <v>561</v>
      </c>
      <c r="H108" t="s">
        <v>563</v>
      </c>
      <c r="I108" t="s">
        <v>566</v>
      </c>
      <c r="J108" s="8">
        <v>34500</v>
      </c>
      <c r="K108" t="s">
        <v>571</v>
      </c>
    </row>
    <row r="109" spans="1:11" ht="17">
      <c r="A109">
        <v>108</v>
      </c>
      <c r="B109" s="5">
        <v>45871</v>
      </c>
      <c r="C109" t="s">
        <v>28</v>
      </c>
      <c r="D109" t="s">
        <v>33</v>
      </c>
      <c r="E109" t="s">
        <v>41</v>
      </c>
      <c r="F109" t="s">
        <v>166</v>
      </c>
      <c r="G109" t="s">
        <v>555</v>
      </c>
      <c r="H109" t="s">
        <v>564</v>
      </c>
      <c r="I109" t="s">
        <v>567</v>
      </c>
      <c r="J109" s="8">
        <v>337500</v>
      </c>
      <c r="K109" t="s">
        <v>572</v>
      </c>
    </row>
    <row r="110" spans="1:11" ht="17">
      <c r="A110">
        <v>109</v>
      </c>
      <c r="B110" s="5">
        <v>45874</v>
      </c>
      <c r="C110" t="s">
        <v>20</v>
      </c>
      <c r="D110" t="s">
        <v>33</v>
      </c>
      <c r="E110" t="s">
        <v>45</v>
      </c>
      <c r="F110" t="s">
        <v>167</v>
      </c>
      <c r="G110" t="s">
        <v>556</v>
      </c>
      <c r="H110" t="s">
        <v>563</v>
      </c>
      <c r="I110" t="s">
        <v>568</v>
      </c>
      <c r="J110" s="8">
        <v>400500</v>
      </c>
      <c r="K110" t="s">
        <v>570</v>
      </c>
    </row>
    <row r="111" spans="1:11" ht="17">
      <c r="A111">
        <v>110</v>
      </c>
      <c r="B111" s="5">
        <v>45875</v>
      </c>
      <c r="C111" t="s">
        <v>15</v>
      </c>
      <c r="D111" t="s">
        <v>33</v>
      </c>
      <c r="E111" t="s">
        <v>43</v>
      </c>
      <c r="F111" t="s">
        <v>168</v>
      </c>
      <c r="G111" t="s">
        <v>557</v>
      </c>
      <c r="H111" t="s">
        <v>563</v>
      </c>
      <c r="I111" t="s">
        <v>567</v>
      </c>
      <c r="J111" s="8">
        <v>69500</v>
      </c>
      <c r="K111" t="s">
        <v>572</v>
      </c>
    </row>
    <row r="112" spans="1:11" ht="17">
      <c r="A112">
        <v>111</v>
      </c>
      <c r="B112" s="5">
        <v>45877</v>
      </c>
      <c r="C112" t="s">
        <v>20</v>
      </c>
      <c r="D112" t="s">
        <v>33</v>
      </c>
      <c r="E112" t="s">
        <v>53</v>
      </c>
      <c r="F112" t="s">
        <v>169</v>
      </c>
      <c r="G112" t="s">
        <v>558</v>
      </c>
      <c r="H112" t="s">
        <v>562</v>
      </c>
      <c r="I112" t="s">
        <v>568</v>
      </c>
      <c r="J112" s="8">
        <v>205500</v>
      </c>
      <c r="K112" t="s">
        <v>573</v>
      </c>
    </row>
    <row r="113" spans="1:11" ht="17">
      <c r="A113">
        <v>112</v>
      </c>
      <c r="B113" s="5">
        <v>45879</v>
      </c>
      <c r="C113" t="s">
        <v>12</v>
      </c>
      <c r="D113" t="s">
        <v>38</v>
      </c>
      <c r="E113" t="s">
        <v>49</v>
      </c>
      <c r="F113" t="s">
        <v>170</v>
      </c>
      <c r="G113" t="s">
        <v>559</v>
      </c>
      <c r="H113" t="s">
        <v>563</v>
      </c>
      <c r="I113" t="s">
        <v>565</v>
      </c>
      <c r="J113" s="8">
        <v>14000</v>
      </c>
      <c r="K113" t="s">
        <v>572</v>
      </c>
    </row>
    <row r="114" spans="1:11" ht="17">
      <c r="A114">
        <v>113</v>
      </c>
      <c r="B114" s="5">
        <v>45881</v>
      </c>
      <c r="C114" t="s">
        <v>17</v>
      </c>
      <c r="D114" t="s">
        <v>34</v>
      </c>
      <c r="E114" t="s">
        <v>42</v>
      </c>
      <c r="F114" t="s">
        <v>171</v>
      </c>
      <c r="G114" t="s">
        <v>560</v>
      </c>
      <c r="H114" t="s">
        <v>563</v>
      </c>
      <c r="I114" t="s">
        <v>569</v>
      </c>
      <c r="J114" s="8">
        <v>9500</v>
      </c>
      <c r="K114" t="s">
        <v>572</v>
      </c>
    </row>
    <row r="115" spans="1:11" ht="17">
      <c r="A115">
        <v>114</v>
      </c>
      <c r="B115" s="5">
        <v>45883</v>
      </c>
      <c r="C115" t="s">
        <v>16</v>
      </c>
      <c r="D115" t="s">
        <v>34</v>
      </c>
      <c r="E115" t="s">
        <v>57</v>
      </c>
      <c r="F115" t="s">
        <v>172</v>
      </c>
      <c r="G115" t="s">
        <v>552</v>
      </c>
      <c r="H115" t="s">
        <v>564</v>
      </c>
      <c r="I115" t="s">
        <v>566</v>
      </c>
      <c r="J115" s="8">
        <v>497000</v>
      </c>
      <c r="K115" t="s">
        <v>572</v>
      </c>
    </row>
    <row r="116" spans="1:11" ht="17">
      <c r="A116">
        <v>115</v>
      </c>
      <c r="B116" s="5">
        <v>45885</v>
      </c>
      <c r="C116" t="s">
        <v>18</v>
      </c>
      <c r="D116" t="s">
        <v>35</v>
      </c>
      <c r="E116" t="s">
        <v>50</v>
      </c>
      <c r="F116" t="s">
        <v>173</v>
      </c>
      <c r="G116" t="s">
        <v>551</v>
      </c>
      <c r="H116" t="s">
        <v>563</v>
      </c>
      <c r="I116" t="s">
        <v>565</v>
      </c>
      <c r="J116" s="8">
        <v>64500</v>
      </c>
      <c r="K116" t="s">
        <v>572</v>
      </c>
    </row>
    <row r="117" spans="1:11" ht="17">
      <c r="A117">
        <v>116</v>
      </c>
      <c r="B117" s="5">
        <v>45887</v>
      </c>
      <c r="C117" t="s">
        <v>16</v>
      </c>
      <c r="D117" t="s">
        <v>34</v>
      </c>
      <c r="E117" t="s">
        <v>42</v>
      </c>
      <c r="F117" t="s">
        <v>174</v>
      </c>
      <c r="G117" t="s">
        <v>550</v>
      </c>
      <c r="H117" t="s">
        <v>563</v>
      </c>
      <c r="I117" t="s">
        <v>568</v>
      </c>
      <c r="J117" s="8">
        <v>457500</v>
      </c>
      <c r="K117" t="s">
        <v>572</v>
      </c>
    </row>
    <row r="118" spans="1:11" ht="17">
      <c r="A118">
        <v>117</v>
      </c>
      <c r="B118" s="5">
        <v>45889</v>
      </c>
      <c r="C118" t="s">
        <v>24</v>
      </c>
      <c r="D118" t="s">
        <v>35</v>
      </c>
      <c r="E118" t="s">
        <v>57</v>
      </c>
      <c r="F118" t="s">
        <v>175</v>
      </c>
      <c r="G118" t="s">
        <v>553</v>
      </c>
      <c r="H118" t="s">
        <v>562</v>
      </c>
      <c r="I118" t="s">
        <v>568</v>
      </c>
      <c r="J118" s="8">
        <v>25500</v>
      </c>
      <c r="K118" t="s">
        <v>572</v>
      </c>
    </row>
    <row r="119" spans="1:11" ht="17">
      <c r="A119">
        <v>118</v>
      </c>
      <c r="B119" s="5">
        <v>45890</v>
      </c>
      <c r="C119" t="s">
        <v>14</v>
      </c>
      <c r="D119" t="s">
        <v>38</v>
      </c>
      <c r="E119" t="s">
        <v>58</v>
      </c>
      <c r="F119" t="s">
        <v>176</v>
      </c>
      <c r="G119" t="s">
        <v>554</v>
      </c>
      <c r="H119" t="s">
        <v>562</v>
      </c>
      <c r="I119" t="s">
        <v>568</v>
      </c>
      <c r="J119" s="8">
        <v>22500</v>
      </c>
      <c r="K119" t="s">
        <v>571</v>
      </c>
    </row>
    <row r="120" spans="1:11" ht="17">
      <c r="A120">
        <v>119</v>
      </c>
      <c r="B120" s="5">
        <v>45892</v>
      </c>
      <c r="C120" t="s">
        <v>17</v>
      </c>
      <c r="D120" t="s">
        <v>34</v>
      </c>
      <c r="E120" t="s">
        <v>55</v>
      </c>
      <c r="F120" t="s">
        <v>177</v>
      </c>
      <c r="G120" t="s">
        <v>555</v>
      </c>
      <c r="H120" t="s">
        <v>562</v>
      </c>
      <c r="I120" t="s">
        <v>569</v>
      </c>
      <c r="J120" s="8">
        <v>106500</v>
      </c>
      <c r="K120" t="s">
        <v>570</v>
      </c>
    </row>
    <row r="121" spans="1:11" ht="17">
      <c r="A121">
        <v>120</v>
      </c>
      <c r="B121" s="5">
        <v>45895</v>
      </c>
      <c r="C121" t="s">
        <v>12</v>
      </c>
      <c r="D121" t="s">
        <v>38</v>
      </c>
      <c r="E121" t="s">
        <v>49</v>
      </c>
      <c r="F121" t="s">
        <v>178</v>
      </c>
      <c r="G121" t="s">
        <v>556</v>
      </c>
      <c r="H121" t="s">
        <v>563</v>
      </c>
      <c r="I121" t="s">
        <v>568</v>
      </c>
      <c r="J121" s="8">
        <v>35500</v>
      </c>
      <c r="K121" t="s">
        <v>570</v>
      </c>
    </row>
    <row r="122" spans="1:11" ht="17">
      <c r="A122">
        <v>121</v>
      </c>
      <c r="B122" s="5">
        <v>45897</v>
      </c>
      <c r="C122" t="s">
        <v>28</v>
      </c>
      <c r="D122" t="s">
        <v>33</v>
      </c>
      <c r="E122" t="s">
        <v>45</v>
      </c>
      <c r="F122" t="s">
        <v>179</v>
      </c>
      <c r="G122" t="s">
        <v>557</v>
      </c>
      <c r="H122" t="s">
        <v>564</v>
      </c>
      <c r="I122" t="s">
        <v>568</v>
      </c>
      <c r="J122" s="8">
        <v>21000</v>
      </c>
      <c r="K122" t="s">
        <v>573</v>
      </c>
    </row>
    <row r="123" spans="1:11" ht="17">
      <c r="A123">
        <v>122</v>
      </c>
      <c r="B123" s="5">
        <v>45898</v>
      </c>
      <c r="C123" t="s">
        <v>16</v>
      </c>
      <c r="D123" t="s">
        <v>34</v>
      </c>
      <c r="E123" t="s">
        <v>44</v>
      </c>
      <c r="F123" t="s">
        <v>180</v>
      </c>
      <c r="G123" t="s">
        <v>561</v>
      </c>
      <c r="H123" t="s">
        <v>562</v>
      </c>
      <c r="I123" t="s">
        <v>566</v>
      </c>
      <c r="J123" s="8">
        <v>20000</v>
      </c>
      <c r="K123" t="s">
        <v>570</v>
      </c>
    </row>
    <row r="124" spans="1:11" ht="17">
      <c r="A124">
        <v>123</v>
      </c>
      <c r="B124" s="5">
        <v>45899</v>
      </c>
      <c r="C124" t="s">
        <v>17</v>
      </c>
      <c r="D124" t="s">
        <v>34</v>
      </c>
      <c r="E124" t="s">
        <v>55</v>
      </c>
      <c r="F124" t="s">
        <v>181</v>
      </c>
      <c r="G124" t="s">
        <v>558</v>
      </c>
      <c r="H124" t="s">
        <v>564</v>
      </c>
      <c r="I124" t="s">
        <v>565</v>
      </c>
      <c r="J124" s="8">
        <v>103000</v>
      </c>
      <c r="K124" t="s">
        <v>570</v>
      </c>
    </row>
    <row r="125" spans="1:11" ht="17">
      <c r="A125">
        <v>124</v>
      </c>
      <c r="B125" s="5">
        <v>45901</v>
      </c>
      <c r="C125" t="s">
        <v>22</v>
      </c>
      <c r="D125" t="s">
        <v>37</v>
      </c>
      <c r="E125" t="s">
        <v>55</v>
      </c>
      <c r="F125" t="s">
        <v>182</v>
      </c>
      <c r="G125" t="s">
        <v>559</v>
      </c>
      <c r="H125" t="s">
        <v>563</v>
      </c>
      <c r="I125" t="s">
        <v>566</v>
      </c>
      <c r="J125" s="8">
        <v>337500</v>
      </c>
      <c r="K125" t="s">
        <v>573</v>
      </c>
    </row>
    <row r="126" spans="1:11" ht="17">
      <c r="A126">
        <v>125</v>
      </c>
      <c r="B126" s="5">
        <v>45903</v>
      </c>
      <c r="C126" t="s">
        <v>27</v>
      </c>
      <c r="D126" t="s">
        <v>38</v>
      </c>
      <c r="E126" t="s">
        <v>58</v>
      </c>
      <c r="F126" t="s">
        <v>183</v>
      </c>
      <c r="G126" t="s">
        <v>552</v>
      </c>
      <c r="H126" t="s">
        <v>563</v>
      </c>
      <c r="I126" t="s">
        <v>568</v>
      </c>
      <c r="J126" s="8">
        <v>158000</v>
      </c>
      <c r="K126" t="s">
        <v>573</v>
      </c>
    </row>
    <row r="127" spans="1:11" ht="17">
      <c r="A127">
        <v>126</v>
      </c>
      <c r="B127" s="5">
        <v>45905</v>
      </c>
      <c r="C127" t="s">
        <v>20</v>
      </c>
      <c r="D127" t="s">
        <v>33</v>
      </c>
      <c r="E127" t="s">
        <v>41</v>
      </c>
      <c r="F127" t="s">
        <v>184</v>
      </c>
      <c r="G127" t="s">
        <v>551</v>
      </c>
      <c r="H127" t="s">
        <v>564</v>
      </c>
      <c r="I127" t="s">
        <v>567</v>
      </c>
      <c r="J127" s="8">
        <v>146000</v>
      </c>
      <c r="K127" t="s">
        <v>572</v>
      </c>
    </row>
    <row r="128" spans="1:11" ht="17">
      <c r="A128">
        <v>127</v>
      </c>
      <c r="B128" s="5">
        <v>45907</v>
      </c>
      <c r="C128" t="s">
        <v>18</v>
      </c>
      <c r="D128" t="s">
        <v>35</v>
      </c>
      <c r="E128" t="s">
        <v>46</v>
      </c>
      <c r="F128" t="s">
        <v>185</v>
      </c>
      <c r="G128" t="s">
        <v>550</v>
      </c>
      <c r="H128" t="s">
        <v>562</v>
      </c>
      <c r="I128" t="s">
        <v>566</v>
      </c>
      <c r="J128" s="8">
        <v>326000</v>
      </c>
      <c r="K128" t="s">
        <v>572</v>
      </c>
    </row>
    <row r="129" spans="1:11" ht="17">
      <c r="A129">
        <v>128</v>
      </c>
      <c r="B129" s="5">
        <v>45910</v>
      </c>
      <c r="C129" t="s">
        <v>21</v>
      </c>
      <c r="D129" t="s">
        <v>37</v>
      </c>
      <c r="E129" t="s">
        <v>55</v>
      </c>
      <c r="F129" t="s">
        <v>186</v>
      </c>
      <c r="G129" t="s">
        <v>553</v>
      </c>
      <c r="H129" t="s">
        <v>564</v>
      </c>
      <c r="I129" t="s">
        <v>565</v>
      </c>
      <c r="J129" s="8">
        <v>187500</v>
      </c>
      <c r="K129" t="s">
        <v>570</v>
      </c>
    </row>
    <row r="130" spans="1:11" ht="17">
      <c r="A130">
        <v>129</v>
      </c>
      <c r="B130" s="5">
        <v>45913</v>
      </c>
      <c r="C130" t="s">
        <v>17</v>
      </c>
      <c r="D130" t="s">
        <v>34</v>
      </c>
      <c r="E130" t="s">
        <v>52</v>
      </c>
      <c r="F130" t="s">
        <v>187</v>
      </c>
      <c r="G130" t="s">
        <v>554</v>
      </c>
      <c r="H130" t="s">
        <v>562</v>
      </c>
      <c r="I130" t="s">
        <v>565</v>
      </c>
      <c r="J130" s="8">
        <v>616500</v>
      </c>
      <c r="K130" t="s">
        <v>573</v>
      </c>
    </row>
    <row r="131" spans="1:11" ht="17">
      <c r="A131">
        <v>130</v>
      </c>
      <c r="B131" s="5">
        <v>45916</v>
      </c>
      <c r="C131" t="s">
        <v>12</v>
      </c>
      <c r="D131" t="s">
        <v>38</v>
      </c>
      <c r="E131" t="s">
        <v>58</v>
      </c>
      <c r="F131" t="s">
        <v>188</v>
      </c>
      <c r="G131" t="s">
        <v>555</v>
      </c>
      <c r="H131" t="s">
        <v>562</v>
      </c>
      <c r="I131" t="s">
        <v>565</v>
      </c>
      <c r="J131" s="8">
        <v>365500</v>
      </c>
      <c r="K131" t="s">
        <v>570</v>
      </c>
    </row>
    <row r="132" spans="1:11" ht="17">
      <c r="A132">
        <v>131</v>
      </c>
      <c r="B132" s="5">
        <v>45918</v>
      </c>
      <c r="C132" t="s">
        <v>21</v>
      </c>
      <c r="D132" t="s">
        <v>37</v>
      </c>
      <c r="E132" t="s">
        <v>49</v>
      </c>
      <c r="F132" t="s">
        <v>189</v>
      </c>
      <c r="G132" t="s">
        <v>556</v>
      </c>
      <c r="H132" t="s">
        <v>562</v>
      </c>
      <c r="I132" t="s">
        <v>567</v>
      </c>
      <c r="J132" s="8">
        <v>416000</v>
      </c>
      <c r="K132" t="s">
        <v>570</v>
      </c>
    </row>
    <row r="133" spans="1:11" ht="17">
      <c r="A133">
        <v>132</v>
      </c>
      <c r="B133" s="5">
        <v>45920</v>
      </c>
      <c r="C133" t="s">
        <v>14</v>
      </c>
      <c r="D133" t="s">
        <v>38</v>
      </c>
      <c r="E133" t="s">
        <v>54</v>
      </c>
      <c r="F133" t="s">
        <v>190</v>
      </c>
      <c r="G133" t="s">
        <v>557</v>
      </c>
      <c r="H133" t="s">
        <v>562</v>
      </c>
      <c r="I133" t="s">
        <v>568</v>
      </c>
      <c r="J133" s="8">
        <v>156000</v>
      </c>
      <c r="K133" t="s">
        <v>572</v>
      </c>
    </row>
    <row r="134" spans="1:11" ht="17">
      <c r="A134">
        <v>133</v>
      </c>
      <c r="B134" s="5">
        <v>45923</v>
      </c>
      <c r="C134" t="s">
        <v>17</v>
      </c>
      <c r="D134" t="s">
        <v>34</v>
      </c>
      <c r="E134" t="s">
        <v>44</v>
      </c>
      <c r="F134" t="s">
        <v>191</v>
      </c>
      <c r="G134" t="s">
        <v>560</v>
      </c>
      <c r="H134" t="s">
        <v>562</v>
      </c>
      <c r="I134" t="s">
        <v>568</v>
      </c>
      <c r="J134" s="8">
        <v>130000</v>
      </c>
      <c r="K134" t="s">
        <v>572</v>
      </c>
    </row>
    <row r="135" spans="1:11" ht="17">
      <c r="A135">
        <v>134</v>
      </c>
      <c r="B135" s="5">
        <v>45925</v>
      </c>
      <c r="C135" t="s">
        <v>28</v>
      </c>
      <c r="D135" t="s">
        <v>33</v>
      </c>
      <c r="E135" t="s">
        <v>43</v>
      </c>
      <c r="F135" t="s">
        <v>192</v>
      </c>
      <c r="G135" t="s">
        <v>558</v>
      </c>
      <c r="H135" t="s">
        <v>562</v>
      </c>
      <c r="I135" t="s">
        <v>565</v>
      </c>
      <c r="J135" s="8">
        <v>458000</v>
      </c>
      <c r="K135" t="s">
        <v>573</v>
      </c>
    </row>
    <row r="136" spans="1:11" ht="17">
      <c r="A136">
        <v>135</v>
      </c>
      <c r="B136" s="5">
        <v>45928</v>
      </c>
      <c r="C136" t="s">
        <v>20</v>
      </c>
      <c r="D136" t="s">
        <v>33</v>
      </c>
      <c r="E136" t="s">
        <v>53</v>
      </c>
      <c r="F136" t="s">
        <v>193</v>
      </c>
      <c r="G136" t="s">
        <v>559</v>
      </c>
      <c r="H136" t="s">
        <v>562</v>
      </c>
      <c r="I136" t="s">
        <v>568</v>
      </c>
      <c r="J136" s="8">
        <v>21000</v>
      </c>
      <c r="K136" t="s">
        <v>573</v>
      </c>
    </row>
    <row r="137" spans="1:11" ht="17">
      <c r="A137">
        <v>136</v>
      </c>
      <c r="B137" s="5">
        <v>45929</v>
      </c>
      <c r="C137" t="s">
        <v>32</v>
      </c>
      <c r="D137" t="s">
        <v>35</v>
      </c>
      <c r="E137" t="s">
        <v>50</v>
      </c>
      <c r="F137" t="s">
        <v>194</v>
      </c>
      <c r="G137" t="s">
        <v>552</v>
      </c>
      <c r="H137" t="s">
        <v>564</v>
      </c>
      <c r="I137" t="s">
        <v>565</v>
      </c>
      <c r="J137" s="8">
        <v>24500</v>
      </c>
      <c r="K137" t="s">
        <v>573</v>
      </c>
    </row>
    <row r="138" spans="1:11" ht="17">
      <c r="A138">
        <v>137</v>
      </c>
      <c r="B138" s="5">
        <v>45931</v>
      </c>
      <c r="C138" t="s">
        <v>16</v>
      </c>
      <c r="D138" t="s">
        <v>34</v>
      </c>
      <c r="E138" t="s">
        <v>57</v>
      </c>
      <c r="F138" t="s">
        <v>195</v>
      </c>
      <c r="G138" t="s">
        <v>551</v>
      </c>
      <c r="H138" t="s">
        <v>562</v>
      </c>
      <c r="I138" t="s">
        <v>566</v>
      </c>
      <c r="J138" s="8">
        <v>42500</v>
      </c>
      <c r="K138" t="s">
        <v>570</v>
      </c>
    </row>
    <row r="139" spans="1:11" ht="17">
      <c r="A139">
        <v>138</v>
      </c>
      <c r="B139" s="5">
        <v>45933</v>
      </c>
      <c r="C139" t="s">
        <v>18</v>
      </c>
      <c r="D139" t="s">
        <v>35</v>
      </c>
      <c r="E139" t="s">
        <v>51</v>
      </c>
      <c r="F139" t="s">
        <v>196</v>
      </c>
      <c r="G139" t="s">
        <v>550</v>
      </c>
      <c r="H139" t="s">
        <v>564</v>
      </c>
      <c r="I139" t="s">
        <v>565</v>
      </c>
      <c r="J139" s="8">
        <v>34500</v>
      </c>
      <c r="K139" t="s">
        <v>572</v>
      </c>
    </row>
    <row r="140" spans="1:11" ht="17">
      <c r="A140">
        <v>139</v>
      </c>
      <c r="B140" s="5">
        <v>45935</v>
      </c>
      <c r="C140" t="s">
        <v>18</v>
      </c>
      <c r="D140" t="s">
        <v>35</v>
      </c>
      <c r="E140" t="s">
        <v>50</v>
      </c>
      <c r="F140" t="s">
        <v>197</v>
      </c>
      <c r="G140" t="s">
        <v>553</v>
      </c>
      <c r="H140" t="s">
        <v>562</v>
      </c>
      <c r="I140" t="s">
        <v>566</v>
      </c>
      <c r="J140" s="8">
        <v>38000</v>
      </c>
      <c r="K140" t="s">
        <v>572</v>
      </c>
    </row>
    <row r="141" spans="1:11" ht="17">
      <c r="A141">
        <v>140</v>
      </c>
      <c r="B141" s="5">
        <v>45937</v>
      </c>
      <c r="C141" t="s">
        <v>18</v>
      </c>
      <c r="D141" t="s">
        <v>35</v>
      </c>
      <c r="E141" t="s">
        <v>46</v>
      </c>
      <c r="F141" t="s">
        <v>198</v>
      </c>
      <c r="G141" t="s">
        <v>554</v>
      </c>
      <c r="H141" t="s">
        <v>562</v>
      </c>
      <c r="I141" t="s">
        <v>568</v>
      </c>
      <c r="J141" s="8">
        <v>21500</v>
      </c>
      <c r="K141" t="s">
        <v>571</v>
      </c>
    </row>
    <row r="142" spans="1:11" ht="17">
      <c r="A142">
        <v>141</v>
      </c>
      <c r="B142" s="5">
        <v>45939</v>
      </c>
      <c r="C142" t="s">
        <v>26</v>
      </c>
      <c r="D142" t="s">
        <v>35</v>
      </c>
      <c r="E142" t="s">
        <v>50</v>
      </c>
      <c r="F142" t="s">
        <v>199</v>
      </c>
      <c r="G142" t="s">
        <v>561</v>
      </c>
      <c r="H142" t="s">
        <v>562</v>
      </c>
      <c r="I142" t="s">
        <v>568</v>
      </c>
      <c r="J142" s="8">
        <v>139000</v>
      </c>
      <c r="K142" t="s">
        <v>572</v>
      </c>
    </row>
    <row r="143" spans="1:11" ht="17">
      <c r="A143">
        <v>142</v>
      </c>
      <c r="B143" s="5">
        <v>45941</v>
      </c>
      <c r="C143" t="s">
        <v>23</v>
      </c>
      <c r="D143" t="s">
        <v>35</v>
      </c>
      <c r="E143" t="s">
        <v>46</v>
      </c>
      <c r="F143" t="s">
        <v>200</v>
      </c>
      <c r="G143" t="s">
        <v>555</v>
      </c>
      <c r="H143" t="s">
        <v>562</v>
      </c>
      <c r="I143" t="s">
        <v>566</v>
      </c>
      <c r="J143" s="8">
        <v>291000</v>
      </c>
      <c r="K143" t="s">
        <v>572</v>
      </c>
    </row>
    <row r="144" spans="1:11" ht="17">
      <c r="A144">
        <v>143</v>
      </c>
      <c r="B144" s="5">
        <v>45944</v>
      </c>
      <c r="C144" t="s">
        <v>23</v>
      </c>
      <c r="D144" t="s">
        <v>35</v>
      </c>
      <c r="E144" t="s">
        <v>50</v>
      </c>
      <c r="F144" t="s">
        <v>201</v>
      </c>
      <c r="G144" t="s">
        <v>556</v>
      </c>
      <c r="H144" t="s">
        <v>562</v>
      </c>
      <c r="I144" t="s">
        <v>565</v>
      </c>
      <c r="J144" s="8">
        <v>104500</v>
      </c>
      <c r="K144" t="s">
        <v>570</v>
      </c>
    </row>
    <row r="145" spans="1:11" ht="17">
      <c r="A145">
        <v>144</v>
      </c>
      <c r="B145" s="5">
        <v>45946</v>
      </c>
      <c r="C145" t="s">
        <v>28</v>
      </c>
      <c r="D145" t="s">
        <v>33</v>
      </c>
      <c r="E145" t="s">
        <v>45</v>
      </c>
      <c r="F145" t="s">
        <v>202</v>
      </c>
      <c r="G145" t="s">
        <v>557</v>
      </c>
      <c r="H145" t="s">
        <v>564</v>
      </c>
      <c r="I145" t="s">
        <v>566</v>
      </c>
      <c r="J145" s="8">
        <v>5500</v>
      </c>
      <c r="K145" t="s">
        <v>572</v>
      </c>
    </row>
    <row r="146" spans="1:11" ht="17">
      <c r="A146">
        <v>145</v>
      </c>
      <c r="B146" s="5">
        <v>45948</v>
      </c>
      <c r="C146" t="s">
        <v>32</v>
      </c>
      <c r="D146" t="s">
        <v>35</v>
      </c>
      <c r="E146" t="s">
        <v>46</v>
      </c>
      <c r="F146" t="s">
        <v>203</v>
      </c>
      <c r="G146" t="s">
        <v>558</v>
      </c>
      <c r="H146" t="s">
        <v>564</v>
      </c>
      <c r="I146" t="s">
        <v>567</v>
      </c>
      <c r="J146" s="8">
        <v>147500</v>
      </c>
      <c r="K146" t="s">
        <v>572</v>
      </c>
    </row>
    <row r="147" spans="1:11" ht="17">
      <c r="A147">
        <v>146</v>
      </c>
      <c r="B147" s="5">
        <v>45950</v>
      </c>
      <c r="C147" t="s">
        <v>22</v>
      </c>
      <c r="D147" t="s">
        <v>37</v>
      </c>
      <c r="E147" t="s">
        <v>48</v>
      </c>
      <c r="F147" t="s">
        <v>204</v>
      </c>
      <c r="G147" t="s">
        <v>559</v>
      </c>
      <c r="H147" t="s">
        <v>562</v>
      </c>
      <c r="I147" t="s">
        <v>568</v>
      </c>
      <c r="J147" s="8">
        <v>19000</v>
      </c>
      <c r="K147" t="s">
        <v>572</v>
      </c>
    </row>
    <row r="148" spans="1:11" ht="17">
      <c r="A148">
        <v>147</v>
      </c>
      <c r="B148" s="5">
        <v>45953</v>
      </c>
      <c r="C148" t="s">
        <v>23</v>
      </c>
      <c r="D148" t="s">
        <v>35</v>
      </c>
      <c r="E148" t="s">
        <v>46</v>
      </c>
      <c r="F148" t="s">
        <v>205</v>
      </c>
      <c r="G148" t="s">
        <v>560</v>
      </c>
      <c r="H148" t="s">
        <v>562</v>
      </c>
      <c r="I148" t="s">
        <v>568</v>
      </c>
      <c r="J148" s="8">
        <v>451000</v>
      </c>
      <c r="K148" t="s">
        <v>572</v>
      </c>
    </row>
    <row r="149" spans="1:11" ht="17">
      <c r="A149">
        <v>148</v>
      </c>
      <c r="B149" s="5">
        <v>45954</v>
      </c>
      <c r="C149" t="s">
        <v>22</v>
      </c>
      <c r="D149" t="s">
        <v>37</v>
      </c>
      <c r="E149" t="s">
        <v>55</v>
      </c>
      <c r="F149" t="s">
        <v>206</v>
      </c>
      <c r="G149" t="s">
        <v>552</v>
      </c>
      <c r="H149" t="s">
        <v>562</v>
      </c>
      <c r="I149" t="s">
        <v>568</v>
      </c>
      <c r="J149" s="8">
        <v>17000</v>
      </c>
      <c r="K149" t="s">
        <v>572</v>
      </c>
    </row>
    <row r="150" spans="1:11" ht="17">
      <c r="A150">
        <v>149</v>
      </c>
      <c r="B150" s="5">
        <v>45956</v>
      </c>
      <c r="C150" t="s">
        <v>21</v>
      </c>
      <c r="D150" t="s">
        <v>37</v>
      </c>
      <c r="E150" t="s">
        <v>55</v>
      </c>
      <c r="F150" t="s">
        <v>207</v>
      </c>
      <c r="G150" t="s">
        <v>551</v>
      </c>
      <c r="H150" t="s">
        <v>563</v>
      </c>
      <c r="I150" t="s">
        <v>565</v>
      </c>
      <c r="J150" s="8">
        <v>58500</v>
      </c>
      <c r="K150" t="s">
        <v>572</v>
      </c>
    </row>
    <row r="151" spans="1:11" ht="17">
      <c r="A151">
        <v>150</v>
      </c>
      <c r="B151" s="5">
        <v>45958</v>
      </c>
      <c r="C151" t="s">
        <v>20</v>
      </c>
      <c r="D151" t="s">
        <v>33</v>
      </c>
      <c r="E151" t="s">
        <v>43</v>
      </c>
      <c r="F151" t="s">
        <v>208</v>
      </c>
      <c r="G151" t="s">
        <v>550</v>
      </c>
      <c r="H151" t="s">
        <v>563</v>
      </c>
      <c r="I151" t="s">
        <v>569</v>
      </c>
      <c r="J151" s="8">
        <v>249500</v>
      </c>
      <c r="K151" t="s">
        <v>571</v>
      </c>
    </row>
    <row r="152" spans="1:11" ht="17">
      <c r="A152">
        <v>151</v>
      </c>
      <c r="B152" s="5">
        <v>45960</v>
      </c>
      <c r="C152" t="s">
        <v>24</v>
      </c>
      <c r="D152" t="s">
        <v>35</v>
      </c>
      <c r="E152" t="s">
        <v>57</v>
      </c>
      <c r="F152" t="s">
        <v>209</v>
      </c>
      <c r="G152" t="s">
        <v>553</v>
      </c>
      <c r="H152" t="s">
        <v>562</v>
      </c>
      <c r="I152" t="s">
        <v>568</v>
      </c>
      <c r="J152" s="8">
        <v>152000</v>
      </c>
      <c r="K152" t="s">
        <v>573</v>
      </c>
    </row>
    <row r="153" spans="1:11" ht="17">
      <c r="A153">
        <v>152</v>
      </c>
      <c r="B153" s="5">
        <v>45962</v>
      </c>
      <c r="C153" t="s">
        <v>31</v>
      </c>
      <c r="D153" t="s">
        <v>33</v>
      </c>
      <c r="E153" t="s">
        <v>53</v>
      </c>
      <c r="F153" t="s">
        <v>210</v>
      </c>
      <c r="G153" t="s">
        <v>554</v>
      </c>
      <c r="H153" t="s">
        <v>562</v>
      </c>
      <c r="I153" t="s">
        <v>565</v>
      </c>
      <c r="J153" s="8">
        <v>27500</v>
      </c>
      <c r="K153" t="s">
        <v>572</v>
      </c>
    </row>
    <row r="154" spans="1:11" ht="17">
      <c r="A154">
        <v>153</v>
      </c>
      <c r="B154" s="5">
        <v>45964</v>
      </c>
      <c r="C154" t="s">
        <v>20</v>
      </c>
      <c r="D154" t="s">
        <v>33</v>
      </c>
      <c r="E154" t="s">
        <v>41</v>
      </c>
      <c r="F154" t="s">
        <v>211</v>
      </c>
      <c r="G154" t="s">
        <v>555</v>
      </c>
      <c r="H154" t="s">
        <v>564</v>
      </c>
      <c r="I154" t="s">
        <v>566</v>
      </c>
      <c r="J154" s="8">
        <v>319500</v>
      </c>
      <c r="K154" t="s">
        <v>572</v>
      </c>
    </row>
    <row r="155" spans="1:11" ht="17">
      <c r="A155">
        <v>154</v>
      </c>
      <c r="B155" s="5">
        <v>45966</v>
      </c>
      <c r="C155" t="s">
        <v>16</v>
      </c>
      <c r="D155" t="s">
        <v>34</v>
      </c>
      <c r="E155" t="s">
        <v>55</v>
      </c>
      <c r="F155" t="s">
        <v>212</v>
      </c>
      <c r="G155" t="s">
        <v>556</v>
      </c>
      <c r="H155" t="s">
        <v>563</v>
      </c>
      <c r="I155" t="s">
        <v>569</v>
      </c>
      <c r="J155" s="8">
        <v>161500</v>
      </c>
      <c r="K155" t="s">
        <v>572</v>
      </c>
    </row>
    <row r="156" spans="1:11" ht="17">
      <c r="A156">
        <v>155</v>
      </c>
      <c r="B156" s="5">
        <v>45969</v>
      </c>
      <c r="C156" t="s">
        <v>15</v>
      </c>
      <c r="D156" t="s">
        <v>33</v>
      </c>
      <c r="E156" t="s">
        <v>45</v>
      </c>
      <c r="F156" t="s">
        <v>213</v>
      </c>
      <c r="G156" t="s">
        <v>557</v>
      </c>
      <c r="H156" t="s">
        <v>564</v>
      </c>
      <c r="I156" t="s">
        <v>565</v>
      </c>
      <c r="J156" s="8">
        <v>17000</v>
      </c>
      <c r="K156" t="s">
        <v>573</v>
      </c>
    </row>
    <row r="157" spans="1:11" ht="17">
      <c r="A157">
        <v>156</v>
      </c>
      <c r="B157" s="5">
        <v>45972</v>
      </c>
      <c r="C157" t="s">
        <v>19</v>
      </c>
      <c r="D157" t="s">
        <v>36</v>
      </c>
      <c r="E157" t="s">
        <v>53</v>
      </c>
      <c r="F157" t="s">
        <v>214</v>
      </c>
      <c r="G157" t="s">
        <v>561</v>
      </c>
      <c r="H157" t="s">
        <v>562</v>
      </c>
      <c r="I157" t="s">
        <v>565</v>
      </c>
      <c r="J157" s="8">
        <v>93500</v>
      </c>
      <c r="K157" t="s">
        <v>572</v>
      </c>
    </row>
    <row r="158" spans="1:11" ht="17">
      <c r="A158">
        <v>157</v>
      </c>
      <c r="B158" s="5">
        <v>45974</v>
      </c>
      <c r="C158" t="s">
        <v>16</v>
      </c>
      <c r="D158" t="s">
        <v>34</v>
      </c>
      <c r="E158" t="s">
        <v>55</v>
      </c>
      <c r="F158" t="s">
        <v>215</v>
      </c>
      <c r="G158" t="s">
        <v>558</v>
      </c>
      <c r="H158" t="s">
        <v>564</v>
      </c>
      <c r="I158" t="s">
        <v>565</v>
      </c>
      <c r="J158" s="8">
        <v>248500</v>
      </c>
      <c r="K158" t="s">
        <v>573</v>
      </c>
    </row>
    <row r="159" spans="1:11" ht="17">
      <c r="A159">
        <v>158</v>
      </c>
      <c r="B159" s="5">
        <v>45975</v>
      </c>
      <c r="C159" t="s">
        <v>20</v>
      </c>
      <c r="D159" t="s">
        <v>33</v>
      </c>
      <c r="E159" t="s">
        <v>43</v>
      </c>
      <c r="F159" t="s">
        <v>216</v>
      </c>
      <c r="G159" t="s">
        <v>559</v>
      </c>
      <c r="H159" t="s">
        <v>564</v>
      </c>
      <c r="I159" t="s">
        <v>568</v>
      </c>
      <c r="J159" s="8">
        <v>438000</v>
      </c>
      <c r="K159" t="s">
        <v>572</v>
      </c>
    </row>
    <row r="160" spans="1:11" ht="17">
      <c r="A160">
        <v>159</v>
      </c>
      <c r="B160" s="5">
        <v>45977</v>
      </c>
      <c r="C160" t="s">
        <v>29</v>
      </c>
      <c r="D160" t="s">
        <v>38</v>
      </c>
      <c r="E160" t="s">
        <v>42</v>
      </c>
      <c r="F160" t="s">
        <v>217</v>
      </c>
      <c r="G160" t="s">
        <v>552</v>
      </c>
      <c r="H160" t="s">
        <v>563</v>
      </c>
      <c r="I160" t="s">
        <v>569</v>
      </c>
      <c r="J160" s="8">
        <v>371000</v>
      </c>
      <c r="K160" t="s">
        <v>573</v>
      </c>
    </row>
    <row r="161" spans="1:11" ht="17">
      <c r="A161">
        <v>160</v>
      </c>
      <c r="B161" s="5">
        <v>45979</v>
      </c>
      <c r="C161" t="s">
        <v>31</v>
      </c>
      <c r="D161" t="s">
        <v>33</v>
      </c>
      <c r="E161" t="s">
        <v>53</v>
      </c>
      <c r="F161" t="s">
        <v>218</v>
      </c>
      <c r="G161" t="s">
        <v>551</v>
      </c>
      <c r="H161" t="s">
        <v>563</v>
      </c>
      <c r="I161" t="s">
        <v>568</v>
      </c>
      <c r="J161" s="8">
        <v>60000</v>
      </c>
      <c r="K161" t="s">
        <v>572</v>
      </c>
    </row>
    <row r="162" spans="1:11" ht="17">
      <c r="A162">
        <v>161</v>
      </c>
      <c r="B162" s="5">
        <v>45980</v>
      </c>
      <c r="C162" t="s">
        <v>28</v>
      </c>
      <c r="D162" t="s">
        <v>33</v>
      </c>
      <c r="E162" t="s">
        <v>43</v>
      </c>
      <c r="F162" t="s">
        <v>219</v>
      </c>
      <c r="G162" t="s">
        <v>550</v>
      </c>
      <c r="H162" t="s">
        <v>563</v>
      </c>
      <c r="I162" t="s">
        <v>568</v>
      </c>
      <c r="J162" s="8">
        <v>549000</v>
      </c>
      <c r="K162" t="s">
        <v>570</v>
      </c>
    </row>
    <row r="163" spans="1:11" ht="17">
      <c r="A163">
        <v>162</v>
      </c>
      <c r="B163" s="5">
        <v>45981</v>
      </c>
      <c r="C163" t="s">
        <v>19</v>
      </c>
      <c r="D163" t="s">
        <v>36</v>
      </c>
      <c r="E163" t="s">
        <v>47</v>
      </c>
      <c r="F163" t="s">
        <v>220</v>
      </c>
      <c r="G163" t="s">
        <v>553</v>
      </c>
      <c r="H163" t="s">
        <v>564</v>
      </c>
      <c r="I163" t="s">
        <v>567</v>
      </c>
      <c r="J163" s="8">
        <v>35000</v>
      </c>
      <c r="K163" t="s">
        <v>572</v>
      </c>
    </row>
    <row r="164" spans="1:11" ht="17">
      <c r="A164">
        <v>163</v>
      </c>
      <c r="B164" s="5">
        <v>45983</v>
      </c>
      <c r="C164" t="s">
        <v>27</v>
      </c>
      <c r="D164" t="s">
        <v>38</v>
      </c>
      <c r="E164" t="s">
        <v>49</v>
      </c>
      <c r="F164" t="s">
        <v>221</v>
      </c>
      <c r="G164" t="s">
        <v>554</v>
      </c>
      <c r="H164" t="s">
        <v>562</v>
      </c>
      <c r="I164" t="s">
        <v>569</v>
      </c>
      <c r="J164" s="8">
        <v>161000</v>
      </c>
      <c r="K164" t="s">
        <v>571</v>
      </c>
    </row>
    <row r="165" spans="1:11" ht="17">
      <c r="A165">
        <v>164</v>
      </c>
      <c r="B165" s="5">
        <v>45985</v>
      </c>
      <c r="C165" t="s">
        <v>22</v>
      </c>
      <c r="D165" t="s">
        <v>37</v>
      </c>
      <c r="E165" t="s">
        <v>48</v>
      </c>
      <c r="F165" t="s">
        <v>222</v>
      </c>
      <c r="G165" t="s">
        <v>555</v>
      </c>
      <c r="H165" t="s">
        <v>563</v>
      </c>
      <c r="I165" t="s">
        <v>566</v>
      </c>
      <c r="J165" s="8">
        <v>358500</v>
      </c>
      <c r="K165" t="s">
        <v>572</v>
      </c>
    </row>
    <row r="166" spans="1:11" ht="17">
      <c r="A166">
        <v>165</v>
      </c>
      <c r="B166" s="5">
        <v>45987</v>
      </c>
      <c r="C166" t="s">
        <v>18</v>
      </c>
      <c r="D166" t="s">
        <v>35</v>
      </c>
      <c r="E166" t="s">
        <v>57</v>
      </c>
      <c r="F166" t="s">
        <v>223</v>
      </c>
      <c r="G166" t="s">
        <v>556</v>
      </c>
      <c r="H166" t="s">
        <v>563</v>
      </c>
      <c r="I166" t="s">
        <v>566</v>
      </c>
      <c r="J166" s="8">
        <v>35500</v>
      </c>
      <c r="K166" t="s">
        <v>571</v>
      </c>
    </row>
    <row r="167" spans="1:11" ht="17">
      <c r="A167">
        <v>166</v>
      </c>
      <c r="B167" s="5">
        <v>45988</v>
      </c>
      <c r="C167" t="s">
        <v>15</v>
      </c>
      <c r="D167" t="s">
        <v>33</v>
      </c>
      <c r="E167" t="s">
        <v>53</v>
      </c>
      <c r="F167" t="s">
        <v>224</v>
      </c>
      <c r="G167" t="s">
        <v>557</v>
      </c>
      <c r="H167" t="s">
        <v>564</v>
      </c>
      <c r="I167" t="s">
        <v>569</v>
      </c>
      <c r="J167" s="8">
        <v>449500</v>
      </c>
      <c r="K167" t="s">
        <v>570</v>
      </c>
    </row>
    <row r="168" spans="1:11" ht="17">
      <c r="A168">
        <v>167</v>
      </c>
      <c r="B168" s="5">
        <v>45990</v>
      </c>
      <c r="C168" t="s">
        <v>29</v>
      </c>
      <c r="D168" t="s">
        <v>38</v>
      </c>
      <c r="E168" t="s">
        <v>49</v>
      </c>
      <c r="F168" t="s">
        <v>225</v>
      </c>
      <c r="G168" t="s">
        <v>560</v>
      </c>
      <c r="H168" t="s">
        <v>564</v>
      </c>
      <c r="I168" t="s">
        <v>566</v>
      </c>
      <c r="J168" s="8">
        <v>607000</v>
      </c>
      <c r="K168" t="s">
        <v>570</v>
      </c>
    </row>
    <row r="169" spans="1:11" ht="17">
      <c r="A169">
        <v>168</v>
      </c>
      <c r="B169" s="5">
        <v>45993</v>
      </c>
      <c r="C169" t="s">
        <v>29</v>
      </c>
      <c r="D169" t="s">
        <v>38</v>
      </c>
      <c r="E169" t="s">
        <v>58</v>
      </c>
      <c r="F169" t="s">
        <v>226</v>
      </c>
      <c r="G169" t="s">
        <v>558</v>
      </c>
      <c r="H169" t="s">
        <v>562</v>
      </c>
      <c r="I169" t="s">
        <v>568</v>
      </c>
      <c r="J169" s="8">
        <v>33000</v>
      </c>
      <c r="K169" t="s">
        <v>572</v>
      </c>
    </row>
    <row r="170" spans="1:11" ht="17">
      <c r="A170">
        <v>169</v>
      </c>
      <c r="B170" s="5">
        <v>45995</v>
      </c>
      <c r="C170" t="s">
        <v>18</v>
      </c>
      <c r="D170" t="s">
        <v>35</v>
      </c>
      <c r="E170" t="s">
        <v>46</v>
      </c>
      <c r="F170" t="s">
        <v>227</v>
      </c>
      <c r="G170" t="s">
        <v>559</v>
      </c>
      <c r="H170" t="s">
        <v>564</v>
      </c>
      <c r="I170" t="s">
        <v>568</v>
      </c>
      <c r="J170" s="8">
        <v>210000</v>
      </c>
      <c r="K170" t="s">
        <v>572</v>
      </c>
    </row>
    <row r="171" spans="1:11" ht="17">
      <c r="A171">
        <v>170</v>
      </c>
      <c r="B171" s="5">
        <v>45997</v>
      </c>
      <c r="C171" t="s">
        <v>28</v>
      </c>
      <c r="D171" t="s">
        <v>33</v>
      </c>
      <c r="E171" t="s">
        <v>56</v>
      </c>
      <c r="F171" t="s">
        <v>228</v>
      </c>
      <c r="G171" t="s">
        <v>552</v>
      </c>
      <c r="H171" t="s">
        <v>562</v>
      </c>
      <c r="I171" t="s">
        <v>568</v>
      </c>
      <c r="J171" s="8">
        <v>59000</v>
      </c>
      <c r="K171" t="s">
        <v>570</v>
      </c>
    </row>
    <row r="172" spans="1:11" ht="17">
      <c r="A172">
        <v>171</v>
      </c>
      <c r="B172" s="5">
        <v>45998</v>
      </c>
      <c r="C172" t="s">
        <v>25</v>
      </c>
      <c r="D172" t="s">
        <v>34</v>
      </c>
      <c r="E172" t="s">
        <v>55</v>
      </c>
      <c r="F172" t="s">
        <v>229</v>
      </c>
      <c r="G172" t="s">
        <v>551</v>
      </c>
      <c r="H172" t="s">
        <v>564</v>
      </c>
      <c r="I172" t="s">
        <v>569</v>
      </c>
      <c r="J172" s="8">
        <v>354500</v>
      </c>
      <c r="K172" t="s">
        <v>570</v>
      </c>
    </row>
    <row r="173" spans="1:11" ht="17">
      <c r="A173">
        <v>172</v>
      </c>
      <c r="B173" s="5">
        <v>46000</v>
      </c>
      <c r="C173" t="s">
        <v>29</v>
      </c>
      <c r="D173" t="s">
        <v>38</v>
      </c>
      <c r="E173" t="s">
        <v>54</v>
      </c>
      <c r="F173" t="s">
        <v>230</v>
      </c>
      <c r="G173" t="s">
        <v>550</v>
      </c>
      <c r="H173" t="s">
        <v>564</v>
      </c>
      <c r="I173" t="s">
        <v>568</v>
      </c>
      <c r="J173" s="8">
        <v>303000</v>
      </c>
      <c r="K173" t="s">
        <v>570</v>
      </c>
    </row>
    <row r="174" spans="1:11" ht="17">
      <c r="A174">
        <v>173</v>
      </c>
      <c r="B174" s="5">
        <v>46003</v>
      </c>
      <c r="C174" t="s">
        <v>20</v>
      </c>
      <c r="D174" t="s">
        <v>33</v>
      </c>
      <c r="E174" t="s">
        <v>56</v>
      </c>
      <c r="F174" t="s">
        <v>231</v>
      </c>
      <c r="G174" t="s">
        <v>553</v>
      </c>
      <c r="H174" t="s">
        <v>564</v>
      </c>
      <c r="I174" t="s">
        <v>566</v>
      </c>
      <c r="J174" s="8">
        <v>83000</v>
      </c>
      <c r="K174" t="s">
        <v>572</v>
      </c>
    </row>
    <row r="175" spans="1:11" ht="17">
      <c r="A175">
        <v>174</v>
      </c>
      <c r="B175" s="5">
        <v>46005</v>
      </c>
      <c r="C175" t="s">
        <v>29</v>
      </c>
      <c r="D175" t="s">
        <v>38</v>
      </c>
      <c r="E175" t="s">
        <v>58</v>
      </c>
      <c r="F175" t="s">
        <v>232</v>
      </c>
      <c r="G175" t="s">
        <v>554</v>
      </c>
      <c r="H175" t="s">
        <v>563</v>
      </c>
      <c r="I175" t="s">
        <v>565</v>
      </c>
      <c r="J175" s="8">
        <v>118000</v>
      </c>
      <c r="K175" t="s">
        <v>573</v>
      </c>
    </row>
    <row r="176" spans="1:11" ht="17">
      <c r="A176">
        <v>175</v>
      </c>
      <c r="B176" s="5">
        <v>46007</v>
      </c>
      <c r="C176" t="s">
        <v>27</v>
      </c>
      <c r="D176" t="s">
        <v>38</v>
      </c>
      <c r="E176" t="s">
        <v>58</v>
      </c>
      <c r="F176" t="s">
        <v>233</v>
      </c>
      <c r="G176" t="s">
        <v>561</v>
      </c>
      <c r="H176" t="s">
        <v>563</v>
      </c>
      <c r="I176" t="s">
        <v>565</v>
      </c>
      <c r="J176" s="8">
        <v>417500</v>
      </c>
      <c r="K176" t="s">
        <v>570</v>
      </c>
    </row>
    <row r="177" spans="1:11" ht="17">
      <c r="A177">
        <v>176</v>
      </c>
      <c r="B177" s="5">
        <v>46009</v>
      </c>
      <c r="C177" t="s">
        <v>29</v>
      </c>
      <c r="D177" t="s">
        <v>38</v>
      </c>
      <c r="E177" t="s">
        <v>39</v>
      </c>
      <c r="F177" t="s">
        <v>234</v>
      </c>
      <c r="G177" t="s">
        <v>555</v>
      </c>
      <c r="H177" t="s">
        <v>564</v>
      </c>
      <c r="I177" t="s">
        <v>568</v>
      </c>
      <c r="J177" s="8">
        <v>137500</v>
      </c>
      <c r="K177" t="s">
        <v>573</v>
      </c>
    </row>
    <row r="178" spans="1:11" ht="17">
      <c r="A178">
        <v>177</v>
      </c>
      <c r="B178" s="5">
        <v>46012</v>
      </c>
      <c r="C178" t="s">
        <v>20</v>
      </c>
      <c r="D178" t="s">
        <v>33</v>
      </c>
      <c r="E178" t="s">
        <v>45</v>
      </c>
      <c r="F178" t="s">
        <v>235</v>
      </c>
      <c r="G178" t="s">
        <v>556</v>
      </c>
      <c r="H178" t="s">
        <v>563</v>
      </c>
      <c r="I178" t="s">
        <v>565</v>
      </c>
      <c r="J178" s="8">
        <v>265000</v>
      </c>
      <c r="K178" t="s">
        <v>570</v>
      </c>
    </row>
    <row r="179" spans="1:11" ht="17">
      <c r="A179">
        <v>178</v>
      </c>
      <c r="B179" s="5">
        <v>46013</v>
      </c>
      <c r="C179" t="s">
        <v>32</v>
      </c>
      <c r="D179" t="s">
        <v>35</v>
      </c>
      <c r="E179" t="s">
        <v>57</v>
      </c>
      <c r="F179" t="s">
        <v>236</v>
      </c>
      <c r="G179" t="s">
        <v>557</v>
      </c>
      <c r="H179" t="s">
        <v>563</v>
      </c>
      <c r="I179" t="s">
        <v>565</v>
      </c>
      <c r="J179" s="8">
        <v>48000</v>
      </c>
      <c r="K179" t="s">
        <v>573</v>
      </c>
    </row>
    <row r="180" spans="1:11" ht="17">
      <c r="A180">
        <v>179</v>
      </c>
      <c r="B180" s="5">
        <v>46014</v>
      </c>
      <c r="C180" t="s">
        <v>32</v>
      </c>
      <c r="D180" t="s">
        <v>35</v>
      </c>
      <c r="E180" t="s">
        <v>57</v>
      </c>
      <c r="F180" t="s">
        <v>237</v>
      </c>
      <c r="G180" t="s">
        <v>558</v>
      </c>
      <c r="H180" t="s">
        <v>563</v>
      </c>
      <c r="I180" t="s">
        <v>567</v>
      </c>
      <c r="J180" s="8">
        <v>326500</v>
      </c>
      <c r="K180" t="s">
        <v>572</v>
      </c>
    </row>
    <row r="181" spans="1:11" ht="17">
      <c r="A181">
        <v>180</v>
      </c>
      <c r="B181" s="5">
        <v>46015</v>
      </c>
      <c r="C181" t="s">
        <v>27</v>
      </c>
      <c r="D181" t="s">
        <v>38</v>
      </c>
      <c r="E181" t="s">
        <v>58</v>
      </c>
      <c r="F181" t="s">
        <v>238</v>
      </c>
      <c r="G181" t="s">
        <v>559</v>
      </c>
      <c r="H181" t="s">
        <v>563</v>
      </c>
      <c r="I181" t="s">
        <v>565</v>
      </c>
      <c r="J181" s="8">
        <v>102000</v>
      </c>
      <c r="K181" t="s">
        <v>572</v>
      </c>
    </row>
    <row r="182" spans="1:11" ht="17">
      <c r="A182">
        <v>181</v>
      </c>
      <c r="B182" s="5">
        <v>46017</v>
      </c>
      <c r="C182" t="s">
        <v>25</v>
      </c>
      <c r="D182" t="s">
        <v>34</v>
      </c>
      <c r="E182" t="s">
        <v>55</v>
      </c>
      <c r="F182" t="s">
        <v>239</v>
      </c>
      <c r="G182" t="s">
        <v>560</v>
      </c>
      <c r="H182" t="s">
        <v>564</v>
      </c>
      <c r="I182" t="s">
        <v>569</v>
      </c>
      <c r="J182" s="8">
        <v>333000</v>
      </c>
      <c r="K182" t="s">
        <v>572</v>
      </c>
    </row>
    <row r="183" spans="1:11" ht="17">
      <c r="A183">
        <v>182</v>
      </c>
      <c r="B183" s="5">
        <v>46018</v>
      </c>
      <c r="C183" t="s">
        <v>26</v>
      </c>
      <c r="D183" t="s">
        <v>35</v>
      </c>
      <c r="E183" t="s">
        <v>57</v>
      </c>
      <c r="F183" t="s">
        <v>240</v>
      </c>
      <c r="G183" t="s">
        <v>552</v>
      </c>
      <c r="H183" t="s">
        <v>562</v>
      </c>
      <c r="I183" t="s">
        <v>568</v>
      </c>
      <c r="J183" s="8">
        <v>148500</v>
      </c>
      <c r="K183" t="s">
        <v>572</v>
      </c>
    </row>
    <row r="184" spans="1:11" ht="17">
      <c r="A184">
        <v>183</v>
      </c>
      <c r="B184" s="5">
        <v>46020</v>
      </c>
      <c r="C184" t="s">
        <v>20</v>
      </c>
      <c r="D184" t="s">
        <v>33</v>
      </c>
      <c r="E184" t="s">
        <v>53</v>
      </c>
      <c r="F184" t="s">
        <v>241</v>
      </c>
      <c r="G184" t="s">
        <v>551</v>
      </c>
      <c r="H184" t="s">
        <v>562</v>
      </c>
      <c r="I184" t="s">
        <v>565</v>
      </c>
      <c r="J184" s="8">
        <v>33000</v>
      </c>
      <c r="K184" t="s">
        <v>570</v>
      </c>
    </row>
    <row r="185" spans="1:11" ht="17">
      <c r="A185">
        <v>184</v>
      </c>
      <c r="B185" s="5">
        <v>46022</v>
      </c>
      <c r="C185" t="s">
        <v>19</v>
      </c>
      <c r="D185" t="s">
        <v>36</v>
      </c>
      <c r="E185" t="s">
        <v>41</v>
      </c>
      <c r="F185" t="s">
        <v>242</v>
      </c>
      <c r="G185" t="s">
        <v>550</v>
      </c>
      <c r="H185" t="s">
        <v>562</v>
      </c>
      <c r="I185" t="s">
        <v>569</v>
      </c>
      <c r="J185" s="8">
        <v>617000</v>
      </c>
      <c r="K185" t="s">
        <v>570</v>
      </c>
    </row>
    <row r="186" spans="1:11" ht="17">
      <c r="A186">
        <v>185</v>
      </c>
      <c r="B186" s="5">
        <v>46023</v>
      </c>
      <c r="C186" t="s">
        <v>20</v>
      </c>
      <c r="D186" t="s">
        <v>33</v>
      </c>
      <c r="E186" t="s">
        <v>43</v>
      </c>
      <c r="F186" t="s">
        <v>243</v>
      </c>
      <c r="G186" t="s">
        <v>553</v>
      </c>
      <c r="H186" t="s">
        <v>563</v>
      </c>
      <c r="I186" t="s">
        <v>568</v>
      </c>
      <c r="J186" s="8">
        <v>110000</v>
      </c>
      <c r="K186" t="s">
        <v>572</v>
      </c>
    </row>
    <row r="187" spans="1:11" ht="17">
      <c r="A187">
        <v>186</v>
      </c>
      <c r="B187" s="5">
        <v>46024</v>
      </c>
      <c r="C187" t="s">
        <v>32</v>
      </c>
      <c r="D187" t="s">
        <v>35</v>
      </c>
      <c r="E187" t="s">
        <v>58</v>
      </c>
      <c r="F187" t="s">
        <v>244</v>
      </c>
      <c r="G187" t="s">
        <v>554</v>
      </c>
      <c r="H187" t="s">
        <v>563</v>
      </c>
      <c r="I187" t="s">
        <v>565</v>
      </c>
      <c r="J187" s="8">
        <v>714000</v>
      </c>
      <c r="K187" t="s">
        <v>571</v>
      </c>
    </row>
    <row r="188" spans="1:11" ht="17">
      <c r="A188">
        <v>187</v>
      </c>
      <c r="B188" s="5">
        <v>46026</v>
      </c>
      <c r="C188" t="s">
        <v>30</v>
      </c>
      <c r="D188" t="s">
        <v>33</v>
      </c>
      <c r="E188" t="s">
        <v>53</v>
      </c>
      <c r="F188" t="s">
        <v>245</v>
      </c>
      <c r="G188" t="s">
        <v>555</v>
      </c>
      <c r="H188" t="s">
        <v>563</v>
      </c>
      <c r="I188" t="s">
        <v>565</v>
      </c>
      <c r="J188" s="8">
        <v>246500</v>
      </c>
      <c r="K188" t="s">
        <v>570</v>
      </c>
    </row>
    <row r="189" spans="1:11" ht="17">
      <c r="A189">
        <v>188</v>
      </c>
      <c r="B189" s="5">
        <v>46028</v>
      </c>
      <c r="C189" t="s">
        <v>28</v>
      </c>
      <c r="D189" t="s">
        <v>33</v>
      </c>
      <c r="E189" t="s">
        <v>53</v>
      </c>
      <c r="F189" t="s">
        <v>246</v>
      </c>
      <c r="G189" t="s">
        <v>556</v>
      </c>
      <c r="H189" t="s">
        <v>564</v>
      </c>
      <c r="I189" t="s">
        <v>569</v>
      </c>
      <c r="J189" s="8">
        <v>93500</v>
      </c>
      <c r="K189" t="s">
        <v>571</v>
      </c>
    </row>
    <row r="190" spans="1:11" ht="17">
      <c r="A190">
        <v>189</v>
      </c>
      <c r="B190" s="5">
        <v>46030</v>
      </c>
      <c r="C190" t="s">
        <v>24</v>
      </c>
      <c r="D190" t="s">
        <v>35</v>
      </c>
      <c r="E190" t="s">
        <v>46</v>
      </c>
      <c r="F190" t="s">
        <v>247</v>
      </c>
      <c r="G190" t="s">
        <v>557</v>
      </c>
      <c r="H190" t="s">
        <v>562</v>
      </c>
      <c r="I190" t="s">
        <v>566</v>
      </c>
      <c r="J190" s="8">
        <v>698000</v>
      </c>
      <c r="K190" t="s">
        <v>570</v>
      </c>
    </row>
    <row r="191" spans="1:11" ht="17">
      <c r="A191">
        <v>190</v>
      </c>
      <c r="B191" s="5">
        <v>46032</v>
      </c>
      <c r="C191" t="s">
        <v>32</v>
      </c>
      <c r="D191" t="s">
        <v>35</v>
      </c>
      <c r="E191" t="s">
        <v>58</v>
      </c>
      <c r="F191" t="s">
        <v>248</v>
      </c>
      <c r="G191" t="s">
        <v>561</v>
      </c>
      <c r="H191" t="s">
        <v>564</v>
      </c>
      <c r="I191" t="s">
        <v>567</v>
      </c>
      <c r="J191" s="8">
        <v>165500</v>
      </c>
      <c r="K191" t="s">
        <v>572</v>
      </c>
    </row>
    <row r="192" spans="1:11" ht="17">
      <c r="A192">
        <v>191</v>
      </c>
      <c r="B192" s="5">
        <v>46035</v>
      </c>
      <c r="C192" t="s">
        <v>27</v>
      </c>
      <c r="D192" t="s">
        <v>38</v>
      </c>
      <c r="E192" t="s">
        <v>39</v>
      </c>
      <c r="F192" t="s">
        <v>249</v>
      </c>
      <c r="G192" t="s">
        <v>558</v>
      </c>
      <c r="H192" t="s">
        <v>563</v>
      </c>
      <c r="I192" t="s">
        <v>568</v>
      </c>
      <c r="J192" s="8">
        <v>38500</v>
      </c>
      <c r="K192" t="s">
        <v>573</v>
      </c>
    </row>
    <row r="193" spans="1:11" ht="17">
      <c r="A193">
        <v>192</v>
      </c>
      <c r="B193" s="5">
        <v>46037</v>
      </c>
      <c r="C193" t="s">
        <v>20</v>
      </c>
      <c r="D193" t="s">
        <v>33</v>
      </c>
      <c r="E193" t="s">
        <v>56</v>
      </c>
      <c r="F193" t="s">
        <v>250</v>
      </c>
      <c r="G193" t="s">
        <v>559</v>
      </c>
      <c r="H193" t="s">
        <v>562</v>
      </c>
      <c r="I193" t="s">
        <v>566</v>
      </c>
      <c r="J193" s="8">
        <v>21000</v>
      </c>
      <c r="K193" t="s">
        <v>570</v>
      </c>
    </row>
    <row r="194" spans="1:11" ht="17">
      <c r="A194">
        <v>193</v>
      </c>
      <c r="B194" s="5">
        <v>46038</v>
      </c>
      <c r="C194" t="s">
        <v>19</v>
      </c>
      <c r="D194" t="s">
        <v>36</v>
      </c>
      <c r="E194" t="s">
        <v>53</v>
      </c>
      <c r="F194" t="s">
        <v>251</v>
      </c>
      <c r="G194" t="s">
        <v>552</v>
      </c>
      <c r="H194" t="s">
        <v>563</v>
      </c>
      <c r="I194" t="s">
        <v>568</v>
      </c>
      <c r="J194" s="8">
        <v>141000</v>
      </c>
      <c r="K194" t="s">
        <v>570</v>
      </c>
    </row>
    <row r="195" spans="1:11" ht="17">
      <c r="A195">
        <v>194</v>
      </c>
      <c r="B195" s="5">
        <v>46040</v>
      </c>
      <c r="C195" t="s">
        <v>17</v>
      </c>
      <c r="D195" t="s">
        <v>34</v>
      </c>
      <c r="E195" t="s">
        <v>42</v>
      </c>
      <c r="F195" t="s">
        <v>252</v>
      </c>
      <c r="G195" t="s">
        <v>551</v>
      </c>
      <c r="H195" t="s">
        <v>564</v>
      </c>
      <c r="I195" t="s">
        <v>568</v>
      </c>
      <c r="J195" s="8">
        <v>30000</v>
      </c>
      <c r="K195" t="s">
        <v>572</v>
      </c>
    </row>
    <row r="196" spans="1:11" ht="17">
      <c r="A196">
        <v>195</v>
      </c>
      <c r="B196" s="5">
        <v>46042</v>
      </c>
      <c r="C196" t="s">
        <v>30</v>
      </c>
      <c r="D196" t="s">
        <v>33</v>
      </c>
      <c r="E196" t="s">
        <v>53</v>
      </c>
      <c r="F196" t="s">
        <v>253</v>
      </c>
      <c r="G196" t="s">
        <v>550</v>
      </c>
      <c r="H196" t="s">
        <v>562</v>
      </c>
      <c r="I196" t="s">
        <v>568</v>
      </c>
      <c r="J196" s="8">
        <v>40500</v>
      </c>
      <c r="K196" t="s">
        <v>572</v>
      </c>
    </row>
    <row r="197" spans="1:11" ht="17">
      <c r="A197">
        <v>196</v>
      </c>
      <c r="B197" s="5">
        <v>46043</v>
      </c>
      <c r="C197" t="s">
        <v>32</v>
      </c>
      <c r="D197" t="s">
        <v>35</v>
      </c>
      <c r="E197" t="s">
        <v>57</v>
      </c>
      <c r="F197" t="s">
        <v>254</v>
      </c>
      <c r="G197" t="s">
        <v>553</v>
      </c>
      <c r="H197" t="s">
        <v>562</v>
      </c>
      <c r="I197" t="s">
        <v>568</v>
      </c>
      <c r="J197" s="8">
        <v>31500</v>
      </c>
      <c r="K197" t="s">
        <v>570</v>
      </c>
    </row>
    <row r="198" spans="1:11" ht="17">
      <c r="A198">
        <v>197</v>
      </c>
      <c r="B198" s="5">
        <v>46046</v>
      </c>
      <c r="C198" t="s">
        <v>18</v>
      </c>
      <c r="D198" t="s">
        <v>35</v>
      </c>
      <c r="E198" t="s">
        <v>58</v>
      </c>
      <c r="F198" t="s">
        <v>255</v>
      </c>
      <c r="G198" t="s">
        <v>554</v>
      </c>
      <c r="H198" t="s">
        <v>564</v>
      </c>
      <c r="I198" t="s">
        <v>567</v>
      </c>
      <c r="J198" s="8">
        <v>29000</v>
      </c>
      <c r="K198" t="s">
        <v>571</v>
      </c>
    </row>
    <row r="199" spans="1:11" ht="17">
      <c r="A199">
        <v>198</v>
      </c>
      <c r="B199" s="5">
        <v>46048</v>
      </c>
      <c r="C199" t="s">
        <v>21</v>
      </c>
      <c r="D199" t="s">
        <v>37</v>
      </c>
      <c r="E199" t="s">
        <v>49</v>
      </c>
      <c r="F199" t="s">
        <v>256</v>
      </c>
      <c r="G199" t="s">
        <v>555</v>
      </c>
      <c r="H199" t="s">
        <v>564</v>
      </c>
      <c r="I199" t="s">
        <v>568</v>
      </c>
      <c r="J199" s="8">
        <v>24500</v>
      </c>
      <c r="K199" t="s">
        <v>572</v>
      </c>
    </row>
    <row r="200" spans="1:11" ht="17">
      <c r="A200">
        <v>199</v>
      </c>
      <c r="B200" s="5">
        <v>46050</v>
      </c>
      <c r="C200" t="s">
        <v>31</v>
      </c>
      <c r="D200" t="s">
        <v>33</v>
      </c>
      <c r="E200" t="s">
        <v>41</v>
      </c>
      <c r="F200" t="s">
        <v>257</v>
      </c>
      <c r="G200" t="s">
        <v>556</v>
      </c>
      <c r="H200" t="s">
        <v>563</v>
      </c>
      <c r="I200" t="s">
        <v>569</v>
      </c>
      <c r="J200" s="8">
        <v>142000</v>
      </c>
      <c r="K200" t="s">
        <v>572</v>
      </c>
    </row>
    <row r="201" spans="1:11" ht="17">
      <c r="A201">
        <v>200</v>
      </c>
      <c r="B201" s="5">
        <v>46052</v>
      </c>
      <c r="C201" t="s">
        <v>24</v>
      </c>
      <c r="D201" t="s">
        <v>35</v>
      </c>
      <c r="E201" t="s">
        <v>58</v>
      </c>
      <c r="F201" t="s">
        <v>258</v>
      </c>
      <c r="G201" t="s">
        <v>557</v>
      </c>
      <c r="H201" t="s">
        <v>563</v>
      </c>
      <c r="I201" t="s">
        <v>569</v>
      </c>
      <c r="J201" s="8">
        <v>29000</v>
      </c>
      <c r="K201" t="s">
        <v>571</v>
      </c>
    </row>
    <row r="202" spans="1:11" ht="17">
      <c r="A202">
        <v>201</v>
      </c>
      <c r="B202" s="5">
        <v>46054</v>
      </c>
      <c r="C202" t="s">
        <v>19</v>
      </c>
      <c r="D202" t="s">
        <v>36</v>
      </c>
      <c r="E202" t="s">
        <v>41</v>
      </c>
      <c r="F202" t="s">
        <v>90</v>
      </c>
      <c r="G202" t="s">
        <v>560</v>
      </c>
      <c r="H202" t="s">
        <v>564</v>
      </c>
      <c r="I202" t="s">
        <v>569</v>
      </c>
      <c r="J202" s="8">
        <v>19500</v>
      </c>
      <c r="K202" t="s">
        <v>570</v>
      </c>
    </row>
    <row r="203" spans="1:11" ht="17">
      <c r="A203">
        <v>202</v>
      </c>
      <c r="B203" s="5">
        <v>46057</v>
      </c>
      <c r="C203" t="s">
        <v>17</v>
      </c>
      <c r="D203" t="s">
        <v>34</v>
      </c>
      <c r="E203" t="s">
        <v>42</v>
      </c>
      <c r="F203" t="s">
        <v>259</v>
      </c>
      <c r="G203" t="s">
        <v>558</v>
      </c>
      <c r="H203" t="s">
        <v>564</v>
      </c>
      <c r="I203" t="s">
        <v>567</v>
      </c>
      <c r="J203" s="8">
        <v>25500</v>
      </c>
      <c r="K203" t="s">
        <v>572</v>
      </c>
    </row>
    <row r="204" spans="1:11" ht="17">
      <c r="A204">
        <v>203</v>
      </c>
      <c r="B204" s="5">
        <v>46059</v>
      </c>
      <c r="C204" t="s">
        <v>18</v>
      </c>
      <c r="D204" t="s">
        <v>35</v>
      </c>
      <c r="E204" t="s">
        <v>50</v>
      </c>
      <c r="F204" t="s">
        <v>260</v>
      </c>
      <c r="G204" t="s">
        <v>559</v>
      </c>
      <c r="H204" t="s">
        <v>562</v>
      </c>
      <c r="I204" t="s">
        <v>566</v>
      </c>
      <c r="J204" s="8">
        <v>727500</v>
      </c>
      <c r="K204" t="s">
        <v>572</v>
      </c>
    </row>
    <row r="205" spans="1:11" ht="17">
      <c r="A205">
        <v>204</v>
      </c>
      <c r="B205" s="5">
        <v>46061</v>
      </c>
      <c r="C205" t="s">
        <v>31</v>
      </c>
      <c r="D205" t="s">
        <v>33</v>
      </c>
      <c r="E205" t="s">
        <v>56</v>
      </c>
      <c r="F205" t="s">
        <v>261</v>
      </c>
      <c r="G205" t="s">
        <v>552</v>
      </c>
      <c r="H205" t="s">
        <v>564</v>
      </c>
      <c r="I205" t="s">
        <v>567</v>
      </c>
      <c r="J205" s="8">
        <v>32000</v>
      </c>
      <c r="K205" t="s">
        <v>572</v>
      </c>
    </row>
    <row r="206" spans="1:11" ht="17">
      <c r="A206">
        <v>205</v>
      </c>
      <c r="B206" s="5">
        <v>46063</v>
      </c>
      <c r="C206" t="s">
        <v>32</v>
      </c>
      <c r="D206" t="s">
        <v>35</v>
      </c>
      <c r="E206" t="s">
        <v>46</v>
      </c>
      <c r="F206" t="s">
        <v>262</v>
      </c>
      <c r="G206" t="s">
        <v>551</v>
      </c>
      <c r="H206" t="s">
        <v>563</v>
      </c>
      <c r="I206" t="s">
        <v>568</v>
      </c>
      <c r="J206" s="8">
        <v>212000</v>
      </c>
      <c r="K206" t="s">
        <v>570</v>
      </c>
    </row>
    <row r="207" spans="1:11" ht="17">
      <c r="A207">
        <v>206</v>
      </c>
      <c r="B207" s="5">
        <v>46064</v>
      </c>
      <c r="C207" t="s">
        <v>19</v>
      </c>
      <c r="D207" t="s">
        <v>36</v>
      </c>
      <c r="E207" t="s">
        <v>53</v>
      </c>
      <c r="F207" t="s">
        <v>263</v>
      </c>
      <c r="G207" t="s">
        <v>550</v>
      </c>
      <c r="H207" t="s">
        <v>562</v>
      </c>
      <c r="I207" t="s">
        <v>567</v>
      </c>
      <c r="J207" s="8">
        <v>598000</v>
      </c>
      <c r="K207" t="s">
        <v>572</v>
      </c>
    </row>
    <row r="208" spans="1:11" ht="17">
      <c r="A208">
        <v>207</v>
      </c>
      <c r="B208" s="5">
        <v>46067</v>
      </c>
      <c r="C208" t="s">
        <v>30</v>
      </c>
      <c r="D208" t="s">
        <v>33</v>
      </c>
      <c r="E208" t="s">
        <v>53</v>
      </c>
      <c r="F208" t="s">
        <v>264</v>
      </c>
      <c r="G208" t="s">
        <v>553</v>
      </c>
      <c r="H208" t="s">
        <v>564</v>
      </c>
      <c r="I208" t="s">
        <v>565</v>
      </c>
      <c r="J208" s="8">
        <v>643000</v>
      </c>
      <c r="K208" t="s">
        <v>572</v>
      </c>
    </row>
    <row r="209" spans="1:11" ht="17">
      <c r="A209">
        <v>208</v>
      </c>
      <c r="B209" s="5">
        <v>46068</v>
      </c>
      <c r="C209" t="s">
        <v>21</v>
      </c>
      <c r="D209" t="s">
        <v>37</v>
      </c>
      <c r="E209" t="s">
        <v>49</v>
      </c>
      <c r="F209" t="s">
        <v>265</v>
      </c>
      <c r="G209" t="s">
        <v>554</v>
      </c>
      <c r="H209" t="s">
        <v>562</v>
      </c>
      <c r="I209" t="s">
        <v>565</v>
      </c>
      <c r="J209" s="8">
        <v>59000</v>
      </c>
      <c r="K209" t="s">
        <v>572</v>
      </c>
    </row>
    <row r="210" spans="1:11" ht="17">
      <c r="A210">
        <v>209</v>
      </c>
      <c r="B210" s="5">
        <v>46070</v>
      </c>
      <c r="C210" t="s">
        <v>21</v>
      </c>
      <c r="D210" t="s">
        <v>37</v>
      </c>
      <c r="E210" t="s">
        <v>48</v>
      </c>
      <c r="F210" t="s">
        <v>266</v>
      </c>
      <c r="G210" t="s">
        <v>561</v>
      </c>
      <c r="H210" t="s">
        <v>562</v>
      </c>
      <c r="I210" t="s">
        <v>565</v>
      </c>
      <c r="J210" s="8">
        <v>103500</v>
      </c>
      <c r="K210" t="s">
        <v>572</v>
      </c>
    </row>
    <row r="211" spans="1:11" ht="17">
      <c r="A211">
        <v>210</v>
      </c>
      <c r="B211" s="5">
        <v>46073</v>
      </c>
      <c r="C211" t="s">
        <v>19</v>
      </c>
      <c r="D211" t="s">
        <v>36</v>
      </c>
      <c r="E211" t="s">
        <v>56</v>
      </c>
      <c r="F211" t="s">
        <v>267</v>
      </c>
      <c r="G211" t="s">
        <v>555</v>
      </c>
      <c r="H211" t="s">
        <v>564</v>
      </c>
      <c r="I211" t="s">
        <v>568</v>
      </c>
      <c r="J211" s="8">
        <v>54000</v>
      </c>
      <c r="K211" t="s">
        <v>573</v>
      </c>
    </row>
    <row r="212" spans="1:11" ht="17">
      <c r="A212">
        <v>211</v>
      </c>
      <c r="B212" s="5">
        <v>46075</v>
      </c>
      <c r="C212" t="s">
        <v>18</v>
      </c>
      <c r="D212" t="s">
        <v>35</v>
      </c>
      <c r="E212" t="s">
        <v>50</v>
      </c>
      <c r="F212" t="s">
        <v>268</v>
      </c>
      <c r="G212" t="s">
        <v>556</v>
      </c>
      <c r="H212" t="s">
        <v>562</v>
      </c>
      <c r="I212" t="s">
        <v>566</v>
      </c>
      <c r="J212" s="8">
        <v>112000</v>
      </c>
      <c r="K212" t="s">
        <v>570</v>
      </c>
    </row>
    <row r="213" spans="1:11" ht="17">
      <c r="A213">
        <v>212</v>
      </c>
      <c r="B213" s="5">
        <v>46078</v>
      </c>
      <c r="C213" t="s">
        <v>21</v>
      </c>
      <c r="D213" t="s">
        <v>37</v>
      </c>
      <c r="E213" t="s">
        <v>49</v>
      </c>
      <c r="F213" t="s">
        <v>269</v>
      </c>
      <c r="G213" t="s">
        <v>557</v>
      </c>
      <c r="H213" t="s">
        <v>563</v>
      </c>
      <c r="I213" t="s">
        <v>566</v>
      </c>
      <c r="J213" s="8">
        <v>449500</v>
      </c>
      <c r="K213" t="s">
        <v>572</v>
      </c>
    </row>
    <row r="214" spans="1:11" ht="17">
      <c r="A214">
        <v>213</v>
      </c>
      <c r="B214" s="5">
        <v>46081</v>
      </c>
      <c r="C214" t="s">
        <v>24</v>
      </c>
      <c r="D214" t="s">
        <v>35</v>
      </c>
      <c r="E214" t="s">
        <v>57</v>
      </c>
      <c r="F214" t="s">
        <v>270</v>
      </c>
      <c r="G214" t="s">
        <v>558</v>
      </c>
      <c r="H214" t="s">
        <v>563</v>
      </c>
      <c r="I214" t="s">
        <v>566</v>
      </c>
      <c r="J214" s="8">
        <v>149500</v>
      </c>
      <c r="K214" t="s">
        <v>572</v>
      </c>
    </row>
    <row r="215" spans="1:11" ht="17">
      <c r="A215">
        <v>214</v>
      </c>
      <c r="B215" s="5">
        <v>46084</v>
      </c>
      <c r="C215" t="s">
        <v>31</v>
      </c>
      <c r="D215" t="s">
        <v>33</v>
      </c>
      <c r="E215" t="s">
        <v>45</v>
      </c>
      <c r="F215" t="s">
        <v>271</v>
      </c>
      <c r="G215" t="s">
        <v>559</v>
      </c>
      <c r="H215" t="s">
        <v>563</v>
      </c>
      <c r="I215" t="s">
        <v>567</v>
      </c>
      <c r="J215" s="8">
        <v>630000</v>
      </c>
      <c r="K215" t="s">
        <v>570</v>
      </c>
    </row>
    <row r="216" spans="1:11" ht="17">
      <c r="A216">
        <v>215</v>
      </c>
      <c r="B216" s="5">
        <v>46086</v>
      </c>
      <c r="C216" t="s">
        <v>26</v>
      </c>
      <c r="D216" t="s">
        <v>35</v>
      </c>
      <c r="E216" t="s">
        <v>51</v>
      </c>
      <c r="F216" t="s">
        <v>272</v>
      </c>
      <c r="G216" t="s">
        <v>560</v>
      </c>
      <c r="H216" t="s">
        <v>563</v>
      </c>
      <c r="I216" t="s">
        <v>565</v>
      </c>
      <c r="J216" s="8">
        <v>368000</v>
      </c>
      <c r="K216" t="s">
        <v>570</v>
      </c>
    </row>
    <row r="217" spans="1:11" ht="17">
      <c r="A217">
        <v>216</v>
      </c>
      <c r="B217" s="5">
        <v>46088</v>
      </c>
      <c r="C217" t="s">
        <v>18</v>
      </c>
      <c r="D217" t="s">
        <v>35</v>
      </c>
      <c r="E217" t="s">
        <v>51</v>
      </c>
      <c r="F217" t="s">
        <v>273</v>
      </c>
      <c r="G217" t="s">
        <v>552</v>
      </c>
      <c r="H217" t="s">
        <v>562</v>
      </c>
      <c r="I217" t="s">
        <v>565</v>
      </c>
      <c r="J217" s="8">
        <v>184500</v>
      </c>
      <c r="K217" t="s">
        <v>573</v>
      </c>
    </row>
    <row r="218" spans="1:11" ht="17">
      <c r="A218">
        <v>217</v>
      </c>
      <c r="B218" s="5">
        <v>46090</v>
      </c>
      <c r="C218" t="s">
        <v>26</v>
      </c>
      <c r="D218" t="s">
        <v>35</v>
      </c>
      <c r="E218" t="s">
        <v>50</v>
      </c>
      <c r="F218" t="s">
        <v>274</v>
      </c>
      <c r="G218" t="s">
        <v>551</v>
      </c>
      <c r="H218" t="s">
        <v>564</v>
      </c>
      <c r="I218" t="s">
        <v>569</v>
      </c>
      <c r="J218" s="8">
        <v>94500</v>
      </c>
      <c r="K218" t="s">
        <v>571</v>
      </c>
    </row>
    <row r="219" spans="1:11" ht="17">
      <c r="A219">
        <v>218</v>
      </c>
      <c r="B219" s="5">
        <v>46093</v>
      </c>
      <c r="C219" t="s">
        <v>32</v>
      </c>
      <c r="D219" t="s">
        <v>35</v>
      </c>
      <c r="E219" t="s">
        <v>57</v>
      </c>
      <c r="F219" t="s">
        <v>275</v>
      </c>
      <c r="G219" t="s">
        <v>550</v>
      </c>
      <c r="H219" t="s">
        <v>563</v>
      </c>
      <c r="I219" t="s">
        <v>568</v>
      </c>
      <c r="J219" s="8">
        <v>421500</v>
      </c>
      <c r="K219" t="s">
        <v>573</v>
      </c>
    </row>
    <row r="220" spans="1:11" ht="17">
      <c r="A220">
        <v>219</v>
      </c>
      <c r="B220" s="5">
        <v>46095</v>
      </c>
      <c r="C220" t="s">
        <v>19</v>
      </c>
      <c r="D220" t="s">
        <v>36</v>
      </c>
      <c r="E220" t="s">
        <v>47</v>
      </c>
      <c r="F220" t="s">
        <v>276</v>
      </c>
      <c r="G220" t="s">
        <v>553</v>
      </c>
      <c r="H220" t="s">
        <v>562</v>
      </c>
      <c r="I220" t="s">
        <v>565</v>
      </c>
      <c r="J220" s="8">
        <v>24000</v>
      </c>
      <c r="K220" t="s">
        <v>572</v>
      </c>
    </row>
    <row r="221" spans="1:11" ht="17">
      <c r="A221">
        <v>220</v>
      </c>
      <c r="B221" s="5">
        <v>46097</v>
      </c>
      <c r="C221" t="s">
        <v>27</v>
      </c>
      <c r="D221" t="s">
        <v>38</v>
      </c>
      <c r="E221" t="s">
        <v>42</v>
      </c>
      <c r="F221" t="s">
        <v>277</v>
      </c>
      <c r="G221" t="s">
        <v>554</v>
      </c>
      <c r="H221" t="s">
        <v>564</v>
      </c>
      <c r="I221" t="s">
        <v>565</v>
      </c>
      <c r="J221" s="8">
        <v>345500</v>
      </c>
      <c r="K221" t="s">
        <v>572</v>
      </c>
    </row>
    <row r="222" spans="1:11" ht="17">
      <c r="A222">
        <v>221</v>
      </c>
      <c r="B222" s="5">
        <v>46099</v>
      </c>
      <c r="C222" t="s">
        <v>22</v>
      </c>
      <c r="D222" t="s">
        <v>37</v>
      </c>
      <c r="E222" t="s">
        <v>49</v>
      </c>
      <c r="F222" t="s">
        <v>278</v>
      </c>
      <c r="G222" t="s">
        <v>555</v>
      </c>
      <c r="H222" t="s">
        <v>563</v>
      </c>
      <c r="I222" t="s">
        <v>569</v>
      </c>
      <c r="J222" s="8">
        <v>124500</v>
      </c>
      <c r="K222" t="s">
        <v>570</v>
      </c>
    </row>
    <row r="223" spans="1:11" ht="17">
      <c r="A223">
        <v>222</v>
      </c>
      <c r="B223" s="5">
        <v>46101</v>
      </c>
      <c r="C223" t="s">
        <v>18</v>
      </c>
      <c r="D223" t="s">
        <v>35</v>
      </c>
      <c r="E223" t="s">
        <v>58</v>
      </c>
      <c r="F223" t="s">
        <v>279</v>
      </c>
      <c r="G223" t="s">
        <v>556</v>
      </c>
      <c r="H223" t="s">
        <v>563</v>
      </c>
      <c r="I223" t="s">
        <v>567</v>
      </c>
      <c r="J223" s="8">
        <v>89500</v>
      </c>
      <c r="K223" t="s">
        <v>570</v>
      </c>
    </row>
    <row r="224" spans="1:11" ht="17">
      <c r="A224">
        <v>223</v>
      </c>
      <c r="B224" s="5">
        <v>46102</v>
      </c>
      <c r="C224" t="s">
        <v>15</v>
      </c>
      <c r="D224" t="s">
        <v>33</v>
      </c>
      <c r="E224" t="s">
        <v>41</v>
      </c>
      <c r="F224" t="s">
        <v>280</v>
      </c>
      <c r="G224" t="s">
        <v>557</v>
      </c>
      <c r="H224" t="s">
        <v>562</v>
      </c>
      <c r="I224" t="s">
        <v>568</v>
      </c>
      <c r="J224" s="8">
        <v>29500</v>
      </c>
      <c r="K224" t="s">
        <v>572</v>
      </c>
    </row>
    <row r="225" spans="1:11" ht="17">
      <c r="A225">
        <v>224</v>
      </c>
      <c r="B225" s="5">
        <v>46103</v>
      </c>
      <c r="C225" t="s">
        <v>31</v>
      </c>
      <c r="D225" t="s">
        <v>33</v>
      </c>
      <c r="E225" t="s">
        <v>43</v>
      </c>
      <c r="F225" t="s">
        <v>281</v>
      </c>
      <c r="G225" t="s">
        <v>561</v>
      </c>
      <c r="H225" t="s">
        <v>562</v>
      </c>
      <c r="I225" t="s">
        <v>567</v>
      </c>
      <c r="J225" s="8">
        <v>24000</v>
      </c>
      <c r="K225" t="s">
        <v>572</v>
      </c>
    </row>
    <row r="226" spans="1:11" ht="17">
      <c r="A226">
        <v>225</v>
      </c>
      <c r="B226" s="5">
        <v>46105</v>
      </c>
      <c r="C226" t="s">
        <v>31</v>
      </c>
      <c r="D226" t="s">
        <v>33</v>
      </c>
      <c r="E226" t="s">
        <v>56</v>
      </c>
      <c r="F226" t="s">
        <v>282</v>
      </c>
      <c r="G226" t="s">
        <v>558</v>
      </c>
      <c r="H226" t="s">
        <v>562</v>
      </c>
      <c r="I226" t="s">
        <v>568</v>
      </c>
      <c r="J226" s="8">
        <v>57500</v>
      </c>
      <c r="K226" t="s">
        <v>570</v>
      </c>
    </row>
    <row r="227" spans="1:11" ht="17">
      <c r="A227">
        <v>226</v>
      </c>
      <c r="B227" s="5">
        <v>46108</v>
      </c>
      <c r="C227" t="s">
        <v>12</v>
      </c>
      <c r="D227" t="s">
        <v>38</v>
      </c>
      <c r="E227" t="s">
        <v>49</v>
      </c>
      <c r="F227" t="s">
        <v>283</v>
      </c>
      <c r="G227" t="s">
        <v>559</v>
      </c>
      <c r="H227" t="s">
        <v>562</v>
      </c>
      <c r="I227" t="s">
        <v>568</v>
      </c>
      <c r="J227" s="8">
        <v>286500</v>
      </c>
      <c r="K227" t="s">
        <v>572</v>
      </c>
    </row>
    <row r="228" spans="1:11" ht="17">
      <c r="A228">
        <v>227</v>
      </c>
      <c r="B228" s="5">
        <v>46109</v>
      </c>
      <c r="C228" t="s">
        <v>14</v>
      </c>
      <c r="D228" t="s">
        <v>38</v>
      </c>
      <c r="E228" t="s">
        <v>54</v>
      </c>
      <c r="F228" t="s">
        <v>284</v>
      </c>
      <c r="G228" t="s">
        <v>552</v>
      </c>
      <c r="H228" t="s">
        <v>562</v>
      </c>
      <c r="I228" t="s">
        <v>567</v>
      </c>
      <c r="J228" s="8">
        <v>520500</v>
      </c>
      <c r="K228" t="s">
        <v>572</v>
      </c>
    </row>
    <row r="229" spans="1:11" ht="17">
      <c r="A229">
        <v>228</v>
      </c>
      <c r="B229" s="5">
        <v>46111</v>
      </c>
      <c r="C229" t="s">
        <v>24</v>
      </c>
      <c r="D229" t="s">
        <v>35</v>
      </c>
      <c r="E229" t="s">
        <v>57</v>
      </c>
      <c r="F229" t="s">
        <v>285</v>
      </c>
      <c r="G229" t="s">
        <v>551</v>
      </c>
      <c r="H229" t="s">
        <v>562</v>
      </c>
      <c r="I229" t="s">
        <v>568</v>
      </c>
      <c r="J229" s="8">
        <v>29000</v>
      </c>
      <c r="K229" t="s">
        <v>570</v>
      </c>
    </row>
    <row r="230" spans="1:11" ht="17">
      <c r="A230">
        <v>229</v>
      </c>
      <c r="B230" s="5">
        <v>46114</v>
      </c>
      <c r="C230" t="s">
        <v>21</v>
      </c>
      <c r="D230" t="s">
        <v>37</v>
      </c>
      <c r="E230" t="s">
        <v>55</v>
      </c>
      <c r="F230" t="s">
        <v>286</v>
      </c>
      <c r="G230" t="s">
        <v>550</v>
      </c>
      <c r="H230" t="s">
        <v>564</v>
      </c>
      <c r="I230" t="s">
        <v>565</v>
      </c>
      <c r="J230" s="8">
        <v>42000</v>
      </c>
      <c r="K230" t="s">
        <v>572</v>
      </c>
    </row>
    <row r="231" spans="1:11" ht="17">
      <c r="A231">
        <v>230</v>
      </c>
      <c r="B231" s="5">
        <v>46117</v>
      </c>
      <c r="C231" t="s">
        <v>21</v>
      </c>
      <c r="D231" t="s">
        <v>37</v>
      </c>
      <c r="E231" t="s">
        <v>55</v>
      </c>
      <c r="F231" t="s">
        <v>287</v>
      </c>
      <c r="G231" t="s">
        <v>553</v>
      </c>
      <c r="H231" t="s">
        <v>562</v>
      </c>
      <c r="I231" t="s">
        <v>567</v>
      </c>
      <c r="J231" s="8">
        <v>35000</v>
      </c>
      <c r="K231" t="s">
        <v>573</v>
      </c>
    </row>
    <row r="232" spans="1:11" ht="17">
      <c r="A232">
        <v>231</v>
      </c>
      <c r="B232" s="5">
        <v>46119</v>
      </c>
      <c r="C232" t="s">
        <v>18</v>
      </c>
      <c r="D232" t="s">
        <v>35</v>
      </c>
      <c r="E232" t="s">
        <v>51</v>
      </c>
      <c r="F232" t="s">
        <v>288</v>
      </c>
      <c r="G232" t="s">
        <v>554</v>
      </c>
      <c r="H232" t="s">
        <v>562</v>
      </c>
      <c r="I232" t="s">
        <v>569</v>
      </c>
      <c r="J232" s="8">
        <v>11500</v>
      </c>
      <c r="K232" t="s">
        <v>572</v>
      </c>
    </row>
    <row r="233" spans="1:11" ht="17">
      <c r="A233">
        <v>232</v>
      </c>
      <c r="B233" s="5">
        <v>46120</v>
      </c>
      <c r="C233" t="s">
        <v>28</v>
      </c>
      <c r="D233" t="s">
        <v>33</v>
      </c>
      <c r="E233" t="s">
        <v>43</v>
      </c>
      <c r="F233" t="s">
        <v>289</v>
      </c>
      <c r="G233" t="s">
        <v>555</v>
      </c>
      <c r="H233" t="s">
        <v>562</v>
      </c>
      <c r="I233" t="s">
        <v>568</v>
      </c>
      <c r="J233" s="8">
        <v>170000</v>
      </c>
      <c r="K233" t="s">
        <v>571</v>
      </c>
    </row>
    <row r="234" spans="1:11" ht="17">
      <c r="A234">
        <v>233</v>
      </c>
      <c r="B234" s="5">
        <v>46121</v>
      </c>
      <c r="C234" t="s">
        <v>14</v>
      </c>
      <c r="D234" t="s">
        <v>38</v>
      </c>
      <c r="E234" t="s">
        <v>49</v>
      </c>
      <c r="F234" t="s">
        <v>290</v>
      </c>
      <c r="G234" t="s">
        <v>556</v>
      </c>
      <c r="H234" t="s">
        <v>563</v>
      </c>
      <c r="I234" t="s">
        <v>567</v>
      </c>
      <c r="J234" s="8">
        <v>570000</v>
      </c>
      <c r="K234" t="s">
        <v>570</v>
      </c>
    </row>
    <row r="235" spans="1:11" ht="17">
      <c r="A235">
        <v>234</v>
      </c>
      <c r="B235" s="5">
        <v>46123</v>
      </c>
      <c r="C235" t="s">
        <v>23</v>
      </c>
      <c r="D235" t="s">
        <v>35</v>
      </c>
      <c r="E235" t="s">
        <v>58</v>
      </c>
      <c r="F235" t="s">
        <v>291</v>
      </c>
      <c r="G235" t="s">
        <v>557</v>
      </c>
      <c r="H235" t="s">
        <v>562</v>
      </c>
      <c r="I235" t="s">
        <v>568</v>
      </c>
      <c r="J235" s="8">
        <v>339500</v>
      </c>
      <c r="K235" t="s">
        <v>572</v>
      </c>
    </row>
    <row r="236" spans="1:11" ht="17">
      <c r="A236">
        <v>235</v>
      </c>
      <c r="B236" s="5">
        <v>46126</v>
      </c>
      <c r="C236" t="s">
        <v>28</v>
      </c>
      <c r="D236" t="s">
        <v>33</v>
      </c>
      <c r="E236" t="s">
        <v>43</v>
      </c>
      <c r="F236" t="s">
        <v>292</v>
      </c>
      <c r="G236" t="s">
        <v>560</v>
      </c>
      <c r="H236" t="s">
        <v>562</v>
      </c>
      <c r="I236" t="s">
        <v>567</v>
      </c>
      <c r="J236" s="8">
        <v>134000</v>
      </c>
      <c r="K236" t="s">
        <v>570</v>
      </c>
    </row>
    <row r="237" spans="1:11" ht="17">
      <c r="A237">
        <v>236</v>
      </c>
      <c r="B237" s="5">
        <v>46128</v>
      </c>
      <c r="C237" t="s">
        <v>29</v>
      </c>
      <c r="D237" t="s">
        <v>38</v>
      </c>
      <c r="E237" t="s">
        <v>54</v>
      </c>
      <c r="F237" t="s">
        <v>293</v>
      </c>
      <c r="G237" t="s">
        <v>558</v>
      </c>
      <c r="H237" t="s">
        <v>563</v>
      </c>
      <c r="I237" t="s">
        <v>567</v>
      </c>
      <c r="J237" s="8">
        <v>668000</v>
      </c>
      <c r="K237" t="s">
        <v>571</v>
      </c>
    </row>
    <row r="238" spans="1:11" ht="17">
      <c r="A238">
        <v>237</v>
      </c>
      <c r="B238" s="5">
        <v>46130</v>
      </c>
      <c r="C238" t="s">
        <v>30</v>
      </c>
      <c r="D238" t="s">
        <v>33</v>
      </c>
      <c r="E238" t="s">
        <v>56</v>
      </c>
      <c r="F238" t="s">
        <v>294</v>
      </c>
      <c r="G238" t="s">
        <v>559</v>
      </c>
      <c r="H238" t="s">
        <v>563</v>
      </c>
      <c r="I238" t="s">
        <v>566</v>
      </c>
      <c r="J238" s="8">
        <v>153000</v>
      </c>
      <c r="K238" t="s">
        <v>572</v>
      </c>
    </row>
    <row r="239" spans="1:11" ht="17">
      <c r="A239">
        <v>238</v>
      </c>
      <c r="B239" s="5">
        <v>46132</v>
      </c>
      <c r="C239" t="s">
        <v>30</v>
      </c>
      <c r="D239" t="s">
        <v>33</v>
      </c>
      <c r="E239" t="s">
        <v>43</v>
      </c>
      <c r="F239" t="s">
        <v>295</v>
      </c>
      <c r="G239" t="s">
        <v>552</v>
      </c>
      <c r="H239" t="s">
        <v>562</v>
      </c>
      <c r="I239" t="s">
        <v>568</v>
      </c>
      <c r="J239" s="8">
        <v>89000</v>
      </c>
      <c r="K239" t="s">
        <v>572</v>
      </c>
    </row>
    <row r="240" spans="1:11" ht="17">
      <c r="A240">
        <v>239</v>
      </c>
      <c r="B240" s="5">
        <v>46134</v>
      </c>
      <c r="C240" t="s">
        <v>31</v>
      </c>
      <c r="D240" t="s">
        <v>33</v>
      </c>
      <c r="E240" t="s">
        <v>56</v>
      </c>
      <c r="F240" t="s">
        <v>296</v>
      </c>
      <c r="G240" t="s">
        <v>551</v>
      </c>
      <c r="H240" t="s">
        <v>562</v>
      </c>
      <c r="I240" t="s">
        <v>568</v>
      </c>
      <c r="J240" s="8">
        <v>72500</v>
      </c>
      <c r="K240" t="s">
        <v>571</v>
      </c>
    </row>
    <row r="241" spans="1:11" ht="17">
      <c r="A241">
        <v>240</v>
      </c>
      <c r="B241" s="5">
        <v>46135</v>
      </c>
      <c r="C241" t="s">
        <v>25</v>
      </c>
      <c r="D241" t="s">
        <v>34</v>
      </c>
      <c r="E241" t="s">
        <v>42</v>
      </c>
      <c r="F241" t="s">
        <v>297</v>
      </c>
      <c r="G241" t="s">
        <v>550</v>
      </c>
      <c r="H241" t="s">
        <v>562</v>
      </c>
      <c r="I241" t="s">
        <v>568</v>
      </c>
      <c r="J241" s="8">
        <v>113000</v>
      </c>
      <c r="K241" t="s">
        <v>572</v>
      </c>
    </row>
    <row r="242" spans="1:11" ht="17">
      <c r="A242">
        <v>241</v>
      </c>
      <c r="B242" s="5">
        <v>46137</v>
      </c>
      <c r="C242" t="s">
        <v>20</v>
      </c>
      <c r="D242" t="s">
        <v>33</v>
      </c>
      <c r="E242" t="s">
        <v>43</v>
      </c>
      <c r="F242" t="s">
        <v>298</v>
      </c>
      <c r="G242" t="s">
        <v>553</v>
      </c>
      <c r="H242" t="s">
        <v>562</v>
      </c>
      <c r="I242" t="s">
        <v>565</v>
      </c>
      <c r="J242" s="8">
        <v>133000</v>
      </c>
      <c r="K242" t="s">
        <v>570</v>
      </c>
    </row>
    <row r="243" spans="1:11" ht="17">
      <c r="A243">
        <v>242</v>
      </c>
      <c r="B243" s="5">
        <v>46139</v>
      </c>
      <c r="C243" t="s">
        <v>19</v>
      </c>
      <c r="D243" t="s">
        <v>36</v>
      </c>
      <c r="E243" t="s">
        <v>47</v>
      </c>
      <c r="F243" t="s">
        <v>299</v>
      </c>
      <c r="G243" t="s">
        <v>554</v>
      </c>
      <c r="H243" t="s">
        <v>562</v>
      </c>
      <c r="I243" t="s">
        <v>568</v>
      </c>
      <c r="J243" s="8">
        <v>451000</v>
      </c>
      <c r="K243" t="s">
        <v>572</v>
      </c>
    </row>
    <row r="244" spans="1:11" ht="17">
      <c r="A244">
        <v>243</v>
      </c>
      <c r="B244" s="5">
        <v>46141</v>
      </c>
      <c r="C244" t="s">
        <v>26</v>
      </c>
      <c r="D244" t="s">
        <v>35</v>
      </c>
      <c r="E244" t="s">
        <v>50</v>
      </c>
      <c r="F244" t="s">
        <v>300</v>
      </c>
      <c r="G244" t="s">
        <v>561</v>
      </c>
      <c r="H244" t="s">
        <v>564</v>
      </c>
      <c r="I244" t="s">
        <v>566</v>
      </c>
      <c r="J244" s="8">
        <v>341000</v>
      </c>
      <c r="K244" t="s">
        <v>572</v>
      </c>
    </row>
    <row r="245" spans="1:11" ht="17">
      <c r="A245">
        <v>244</v>
      </c>
      <c r="B245" s="5">
        <v>46143</v>
      </c>
      <c r="C245" t="s">
        <v>24</v>
      </c>
      <c r="D245" t="s">
        <v>35</v>
      </c>
      <c r="E245" t="s">
        <v>51</v>
      </c>
      <c r="F245" t="s">
        <v>301</v>
      </c>
      <c r="G245" t="s">
        <v>555</v>
      </c>
      <c r="H245" t="s">
        <v>564</v>
      </c>
      <c r="I245" t="s">
        <v>568</v>
      </c>
      <c r="J245" s="8">
        <v>233000</v>
      </c>
      <c r="K245" t="s">
        <v>572</v>
      </c>
    </row>
    <row r="246" spans="1:11" ht="17">
      <c r="A246">
        <v>245</v>
      </c>
      <c r="B246" s="5">
        <v>46145</v>
      </c>
      <c r="C246" t="s">
        <v>20</v>
      </c>
      <c r="D246" t="s">
        <v>33</v>
      </c>
      <c r="E246" t="s">
        <v>53</v>
      </c>
      <c r="F246" t="s">
        <v>302</v>
      </c>
      <c r="G246" t="s">
        <v>556</v>
      </c>
      <c r="H246" t="s">
        <v>563</v>
      </c>
      <c r="I246" t="s">
        <v>566</v>
      </c>
      <c r="J246" s="8">
        <v>39500</v>
      </c>
      <c r="K246" t="s">
        <v>572</v>
      </c>
    </row>
    <row r="247" spans="1:11" ht="17">
      <c r="A247">
        <v>246</v>
      </c>
      <c r="B247" s="5">
        <v>46146</v>
      </c>
      <c r="C247" t="s">
        <v>25</v>
      </c>
      <c r="D247" t="s">
        <v>34</v>
      </c>
      <c r="E247" t="s">
        <v>55</v>
      </c>
      <c r="F247" t="s">
        <v>303</v>
      </c>
      <c r="G247" t="s">
        <v>557</v>
      </c>
      <c r="H247" t="s">
        <v>562</v>
      </c>
      <c r="I247" t="s">
        <v>568</v>
      </c>
      <c r="J247" s="8">
        <v>96500</v>
      </c>
      <c r="K247" t="s">
        <v>573</v>
      </c>
    </row>
    <row r="248" spans="1:11" ht="17">
      <c r="A248">
        <v>247</v>
      </c>
      <c r="B248" s="5">
        <v>46148</v>
      </c>
      <c r="C248" t="s">
        <v>21</v>
      </c>
      <c r="D248" t="s">
        <v>37</v>
      </c>
      <c r="E248" t="s">
        <v>49</v>
      </c>
      <c r="F248" t="s">
        <v>304</v>
      </c>
      <c r="G248" t="s">
        <v>558</v>
      </c>
      <c r="H248" t="s">
        <v>562</v>
      </c>
      <c r="I248" t="s">
        <v>568</v>
      </c>
      <c r="J248" s="8">
        <v>38000</v>
      </c>
      <c r="K248" t="s">
        <v>572</v>
      </c>
    </row>
    <row r="249" spans="1:11" ht="17">
      <c r="A249">
        <v>248</v>
      </c>
      <c r="B249" s="5">
        <v>46150</v>
      </c>
      <c r="C249" t="s">
        <v>16</v>
      </c>
      <c r="D249" t="s">
        <v>34</v>
      </c>
      <c r="E249" t="s">
        <v>52</v>
      </c>
      <c r="F249" t="s">
        <v>305</v>
      </c>
      <c r="G249" t="s">
        <v>559</v>
      </c>
      <c r="H249" t="s">
        <v>562</v>
      </c>
      <c r="I249" t="s">
        <v>568</v>
      </c>
      <c r="J249" s="8">
        <v>49500</v>
      </c>
      <c r="K249" t="s">
        <v>572</v>
      </c>
    </row>
    <row r="250" spans="1:11" ht="17">
      <c r="A250">
        <v>249</v>
      </c>
      <c r="B250" s="5">
        <v>46152</v>
      </c>
      <c r="C250" t="s">
        <v>21</v>
      </c>
      <c r="D250" t="s">
        <v>37</v>
      </c>
      <c r="E250" t="s">
        <v>39</v>
      </c>
      <c r="F250" t="s">
        <v>115</v>
      </c>
      <c r="G250" t="s">
        <v>560</v>
      </c>
      <c r="H250" t="s">
        <v>564</v>
      </c>
      <c r="I250" t="s">
        <v>568</v>
      </c>
      <c r="J250" s="8">
        <v>174000</v>
      </c>
      <c r="K250" t="s">
        <v>570</v>
      </c>
    </row>
    <row r="251" spans="1:11" ht="17">
      <c r="A251">
        <v>250</v>
      </c>
      <c r="B251" s="5">
        <v>46154</v>
      </c>
      <c r="C251" t="s">
        <v>20</v>
      </c>
      <c r="D251" t="s">
        <v>33</v>
      </c>
      <c r="E251" t="s">
        <v>43</v>
      </c>
      <c r="F251" t="s">
        <v>306</v>
      </c>
      <c r="G251" t="s">
        <v>552</v>
      </c>
      <c r="H251" t="s">
        <v>562</v>
      </c>
      <c r="I251" t="s">
        <v>569</v>
      </c>
      <c r="J251" s="8">
        <v>15500</v>
      </c>
      <c r="K251" t="s">
        <v>572</v>
      </c>
    </row>
    <row r="252" spans="1:11" ht="17">
      <c r="A252">
        <v>251</v>
      </c>
      <c r="B252" s="5">
        <v>46156</v>
      </c>
      <c r="C252" t="s">
        <v>30</v>
      </c>
      <c r="D252" t="s">
        <v>33</v>
      </c>
      <c r="E252" t="s">
        <v>56</v>
      </c>
      <c r="F252" t="s">
        <v>307</v>
      </c>
      <c r="G252" t="s">
        <v>551</v>
      </c>
      <c r="H252" t="s">
        <v>564</v>
      </c>
      <c r="I252" t="s">
        <v>565</v>
      </c>
      <c r="J252" s="8">
        <v>66000</v>
      </c>
      <c r="K252" t="s">
        <v>572</v>
      </c>
    </row>
    <row r="253" spans="1:11" ht="17">
      <c r="A253">
        <v>252</v>
      </c>
      <c r="B253" s="5">
        <v>46158</v>
      </c>
      <c r="C253" t="s">
        <v>18</v>
      </c>
      <c r="D253" t="s">
        <v>35</v>
      </c>
      <c r="E253" t="s">
        <v>58</v>
      </c>
      <c r="F253" t="s">
        <v>308</v>
      </c>
      <c r="G253" t="s">
        <v>550</v>
      </c>
      <c r="H253" t="s">
        <v>562</v>
      </c>
      <c r="I253" t="s">
        <v>567</v>
      </c>
      <c r="J253" s="8">
        <v>317000</v>
      </c>
      <c r="K253" t="s">
        <v>572</v>
      </c>
    </row>
    <row r="254" spans="1:11" ht="17">
      <c r="A254">
        <v>253</v>
      </c>
      <c r="B254" s="5">
        <v>46160</v>
      </c>
      <c r="C254" t="s">
        <v>24</v>
      </c>
      <c r="D254" t="s">
        <v>35</v>
      </c>
      <c r="E254" t="s">
        <v>57</v>
      </c>
      <c r="F254" t="s">
        <v>309</v>
      </c>
      <c r="G254" t="s">
        <v>553</v>
      </c>
      <c r="H254" t="s">
        <v>564</v>
      </c>
      <c r="I254" t="s">
        <v>568</v>
      </c>
      <c r="J254" s="8">
        <v>165500</v>
      </c>
      <c r="K254" t="s">
        <v>572</v>
      </c>
    </row>
    <row r="255" spans="1:11" ht="17">
      <c r="A255">
        <v>254</v>
      </c>
      <c r="B255" s="5">
        <v>46162</v>
      </c>
      <c r="C255" t="s">
        <v>18</v>
      </c>
      <c r="D255" t="s">
        <v>35</v>
      </c>
      <c r="E255" t="s">
        <v>51</v>
      </c>
      <c r="F255" t="s">
        <v>310</v>
      </c>
      <c r="G255" t="s">
        <v>554</v>
      </c>
      <c r="H255" t="s">
        <v>563</v>
      </c>
      <c r="I255" t="s">
        <v>567</v>
      </c>
      <c r="J255" s="8">
        <v>597500</v>
      </c>
      <c r="K255" t="s">
        <v>572</v>
      </c>
    </row>
    <row r="256" spans="1:11" ht="17">
      <c r="A256">
        <v>255</v>
      </c>
      <c r="B256" s="5">
        <v>46164</v>
      </c>
      <c r="C256" t="s">
        <v>19</v>
      </c>
      <c r="D256" t="s">
        <v>36</v>
      </c>
      <c r="E256" t="s">
        <v>53</v>
      </c>
      <c r="F256" t="s">
        <v>311</v>
      </c>
      <c r="G256" t="s">
        <v>555</v>
      </c>
      <c r="H256" t="s">
        <v>564</v>
      </c>
      <c r="I256" t="s">
        <v>568</v>
      </c>
      <c r="J256" s="8">
        <v>14500</v>
      </c>
      <c r="K256" t="s">
        <v>570</v>
      </c>
    </row>
    <row r="257" spans="1:11" ht="17">
      <c r="A257">
        <v>256</v>
      </c>
      <c r="B257" s="5">
        <v>46165</v>
      </c>
      <c r="C257" t="s">
        <v>24</v>
      </c>
      <c r="D257" t="s">
        <v>35</v>
      </c>
      <c r="E257" t="s">
        <v>46</v>
      </c>
      <c r="F257" t="s">
        <v>312</v>
      </c>
      <c r="G257" t="s">
        <v>556</v>
      </c>
      <c r="H257" t="s">
        <v>562</v>
      </c>
      <c r="I257" t="s">
        <v>568</v>
      </c>
      <c r="J257" s="8">
        <v>35000</v>
      </c>
      <c r="K257" t="s">
        <v>570</v>
      </c>
    </row>
    <row r="258" spans="1:11" ht="17">
      <c r="A258">
        <v>257</v>
      </c>
      <c r="B258" s="5">
        <v>46166</v>
      </c>
      <c r="C258" t="s">
        <v>18</v>
      </c>
      <c r="D258" t="s">
        <v>35</v>
      </c>
      <c r="E258" t="s">
        <v>58</v>
      </c>
      <c r="F258" t="s">
        <v>313</v>
      </c>
      <c r="G258" t="s">
        <v>557</v>
      </c>
      <c r="H258" t="s">
        <v>563</v>
      </c>
      <c r="I258" t="s">
        <v>568</v>
      </c>
      <c r="J258" s="8">
        <v>83000</v>
      </c>
      <c r="K258" t="s">
        <v>572</v>
      </c>
    </row>
    <row r="259" spans="1:11" ht="17">
      <c r="A259">
        <v>258</v>
      </c>
      <c r="B259" s="5">
        <v>46167</v>
      </c>
      <c r="C259" t="s">
        <v>27</v>
      </c>
      <c r="D259" t="s">
        <v>38</v>
      </c>
      <c r="E259" t="s">
        <v>42</v>
      </c>
      <c r="F259" t="s">
        <v>314</v>
      </c>
      <c r="G259" t="s">
        <v>561</v>
      </c>
      <c r="H259" t="s">
        <v>563</v>
      </c>
      <c r="I259" t="s">
        <v>566</v>
      </c>
      <c r="J259" s="8">
        <v>45500</v>
      </c>
      <c r="K259" t="s">
        <v>572</v>
      </c>
    </row>
    <row r="260" spans="1:11" ht="17">
      <c r="A260">
        <v>259</v>
      </c>
      <c r="B260" s="5">
        <v>46169</v>
      </c>
      <c r="C260" t="s">
        <v>31</v>
      </c>
      <c r="D260" t="s">
        <v>33</v>
      </c>
      <c r="E260" t="s">
        <v>56</v>
      </c>
      <c r="F260" t="s">
        <v>315</v>
      </c>
      <c r="G260" t="s">
        <v>558</v>
      </c>
      <c r="H260" t="s">
        <v>564</v>
      </c>
      <c r="I260" t="s">
        <v>568</v>
      </c>
      <c r="J260" s="8">
        <v>727000</v>
      </c>
      <c r="K260" t="s">
        <v>570</v>
      </c>
    </row>
    <row r="261" spans="1:11" ht="17">
      <c r="A261">
        <v>260</v>
      </c>
      <c r="B261" s="5">
        <v>46171</v>
      </c>
      <c r="C261" t="s">
        <v>24</v>
      </c>
      <c r="D261" t="s">
        <v>35</v>
      </c>
      <c r="E261" t="s">
        <v>58</v>
      </c>
      <c r="F261" t="s">
        <v>316</v>
      </c>
      <c r="G261" t="s">
        <v>559</v>
      </c>
      <c r="H261" t="s">
        <v>564</v>
      </c>
      <c r="I261" t="s">
        <v>568</v>
      </c>
      <c r="J261" s="8">
        <v>668000</v>
      </c>
      <c r="K261" t="s">
        <v>570</v>
      </c>
    </row>
    <row r="262" spans="1:11" ht="17">
      <c r="A262">
        <v>261</v>
      </c>
      <c r="B262" s="5">
        <v>46174</v>
      </c>
      <c r="C262" t="s">
        <v>15</v>
      </c>
      <c r="D262" t="s">
        <v>33</v>
      </c>
      <c r="E262" t="s">
        <v>43</v>
      </c>
      <c r="F262" t="s">
        <v>317</v>
      </c>
      <c r="G262" t="s">
        <v>552</v>
      </c>
      <c r="H262" t="s">
        <v>564</v>
      </c>
      <c r="I262" t="s">
        <v>565</v>
      </c>
      <c r="J262" s="8">
        <v>423500</v>
      </c>
      <c r="K262" t="s">
        <v>572</v>
      </c>
    </row>
    <row r="263" spans="1:11" ht="17">
      <c r="A263">
        <v>262</v>
      </c>
      <c r="B263" s="5">
        <v>46176</v>
      </c>
      <c r="C263" t="s">
        <v>20</v>
      </c>
      <c r="D263" t="s">
        <v>33</v>
      </c>
      <c r="E263" t="s">
        <v>53</v>
      </c>
      <c r="F263" t="s">
        <v>318</v>
      </c>
      <c r="G263" t="s">
        <v>551</v>
      </c>
      <c r="H263" t="s">
        <v>562</v>
      </c>
      <c r="I263" t="s">
        <v>566</v>
      </c>
      <c r="J263" s="8">
        <v>16000</v>
      </c>
      <c r="K263" t="s">
        <v>570</v>
      </c>
    </row>
    <row r="264" spans="1:11" ht="17">
      <c r="A264">
        <v>263</v>
      </c>
      <c r="B264" s="5">
        <v>46178</v>
      </c>
      <c r="C264" t="s">
        <v>21</v>
      </c>
      <c r="D264" t="s">
        <v>37</v>
      </c>
      <c r="E264" t="s">
        <v>48</v>
      </c>
      <c r="F264" t="s">
        <v>319</v>
      </c>
      <c r="G264" t="s">
        <v>550</v>
      </c>
      <c r="H264" t="s">
        <v>563</v>
      </c>
      <c r="I264" t="s">
        <v>566</v>
      </c>
      <c r="J264" s="8">
        <v>124000</v>
      </c>
      <c r="K264" t="s">
        <v>572</v>
      </c>
    </row>
    <row r="265" spans="1:11" ht="17">
      <c r="A265">
        <v>264</v>
      </c>
      <c r="B265" s="5">
        <v>46180</v>
      </c>
      <c r="C265" t="s">
        <v>22</v>
      </c>
      <c r="D265" t="s">
        <v>37</v>
      </c>
      <c r="E265" t="s">
        <v>48</v>
      </c>
      <c r="F265" t="s">
        <v>320</v>
      </c>
      <c r="G265" t="s">
        <v>553</v>
      </c>
      <c r="H265" t="s">
        <v>563</v>
      </c>
      <c r="I265" t="s">
        <v>569</v>
      </c>
      <c r="J265" s="8">
        <v>25000</v>
      </c>
      <c r="K265" t="s">
        <v>570</v>
      </c>
    </row>
    <row r="266" spans="1:11" ht="17">
      <c r="A266">
        <v>265</v>
      </c>
      <c r="B266" s="5">
        <v>46182</v>
      </c>
      <c r="C266" t="s">
        <v>29</v>
      </c>
      <c r="D266" t="s">
        <v>38</v>
      </c>
      <c r="E266" t="s">
        <v>58</v>
      </c>
      <c r="F266" t="s">
        <v>321</v>
      </c>
      <c r="G266" t="s">
        <v>554</v>
      </c>
      <c r="H266" t="s">
        <v>563</v>
      </c>
      <c r="I266" t="s">
        <v>569</v>
      </c>
      <c r="J266" s="8">
        <v>693500</v>
      </c>
      <c r="K266" t="s">
        <v>572</v>
      </c>
    </row>
    <row r="267" spans="1:11" ht="17">
      <c r="A267">
        <v>266</v>
      </c>
      <c r="B267" s="5">
        <v>46183</v>
      </c>
      <c r="C267" t="s">
        <v>32</v>
      </c>
      <c r="D267" t="s">
        <v>35</v>
      </c>
      <c r="E267" t="s">
        <v>58</v>
      </c>
      <c r="F267" t="s">
        <v>322</v>
      </c>
      <c r="G267" t="s">
        <v>555</v>
      </c>
      <c r="H267" t="s">
        <v>563</v>
      </c>
      <c r="I267" t="s">
        <v>569</v>
      </c>
      <c r="J267" s="8">
        <v>44500</v>
      </c>
      <c r="K267" t="s">
        <v>570</v>
      </c>
    </row>
    <row r="268" spans="1:11" ht="17">
      <c r="A268">
        <v>267</v>
      </c>
      <c r="B268" s="5">
        <v>46185</v>
      </c>
      <c r="C268" t="s">
        <v>19</v>
      </c>
      <c r="D268" t="s">
        <v>36</v>
      </c>
      <c r="E268" t="s">
        <v>56</v>
      </c>
      <c r="F268" t="s">
        <v>323</v>
      </c>
      <c r="G268" t="s">
        <v>556</v>
      </c>
      <c r="H268" t="s">
        <v>563</v>
      </c>
      <c r="I268" t="s">
        <v>568</v>
      </c>
      <c r="J268" s="8">
        <v>65500</v>
      </c>
      <c r="K268" t="s">
        <v>570</v>
      </c>
    </row>
    <row r="269" spans="1:11" ht="17">
      <c r="A269">
        <v>268</v>
      </c>
      <c r="B269" s="5">
        <v>46186</v>
      </c>
      <c r="C269" t="s">
        <v>12</v>
      </c>
      <c r="D269" t="s">
        <v>38</v>
      </c>
      <c r="E269" t="s">
        <v>58</v>
      </c>
      <c r="F269" t="s">
        <v>324</v>
      </c>
      <c r="G269" t="s">
        <v>557</v>
      </c>
      <c r="H269" t="s">
        <v>563</v>
      </c>
      <c r="I269" t="s">
        <v>568</v>
      </c>
      <c r="J269" s="8">
        <v>28500</v>
      </c>
      <c r="K269" t="s">
        <v>572</v>
      </c>
    </row>
    <row r="270" spans="1:11" ht="17">
      <c r="A270">
        <v>269</v>
      </c>
      <c r="B270" s="5">
        <v>46188</v>
      </c>
      <c r="C270" t="s">
        <v>15</v>
      </c>
      <c r="D270" t="s">
        <v>33</v>
      </c>
      <c r="E270" t="s">
        <v>56</v>
      </c>
      <c r="F270" t="s">
        <v>325</v>
      </c>
      <c r="G270" t="s">
        <v>560</v>
      </c>
      <c r="H270" t="s">
        <v>564</v>
      </c>
      <c r="I270" t="s">
        <v>568</v>
      </c>
      <c r="J270" s="8">
        <v>53500</v>
      </c>
      <c r="K270" t="s">
        <v>572</v>
      </c>
    </row>
    <row r="271" spans="1:11" ht="17">
      <c r="A271">
        <v>270</v>
      </c>
      <c r="B271" s="5">
        <v>46189</v>
      </c>
      <c r="C271" t="s">
        <v>16</v>
      </c>
      <c r="D271" t="s">
        <v>34</v>
      </c>
      <c r="E271" t="s">
        <v>42</v>
      </c>
      <c r="F271" t="s">
        <v>326</v>
      </c>
      <c r="G271" t="s">
        <v>558</v>
      </c>
      <c r="H271" t="s">
        <v>562</v>
      </c>
      <c r="I271" t="s">
        <v>568</v>
      </c>
      <c r="J271" s="8">
        <v>5500</v>
      </c>
      <c r="K271" t="s">
        <v>572</v>
      </c>
    </row>
    <row r="272" spans="1:11" ht="17">
      <c r="A272">
        <v>271</v>
      </c>
      <c r="B272" s="5">
        <v>46191</v>
      </c>
      <c r="C272" t="s">
        <v>12</v>
      </c>
      <c r="D272" t="s">
        <v>38</v>
      </c>
      <c r="E272" t="s">
        <v>49</v>
      </c>
      <c r="F272" t="s">
        <v>327</v>
      </c>
      <c r="G272" t="s">
        <v>559</v>
      </c>
      <c r="H272" t="s">
        <v>564</v>
      </c>
      <c r="I272" t="s">
        <v>568</v>
      </c>
      <c r="J272" s="8">
        <v>336000</v>
      </c>
      <c r="K272" t="s">
        <v>572</v>
      </c>
    </row>
    <row r="273" spans="1:11" ht="17">
      <c r="A273">
        <v>272</v>
      </c>
      <c r="B273" s="5">
        <v>46193</v>
      </c>
      <c r="C273" t="s">
        <v>20</v>
      </c>
      <c r="D273" t="s">
        <v>33</v>
      </c>
      <c r="E273" t="s">
        <v>43</v>
      </c>
      <c r="F273" t="s">
        <v>328</v>
      </c>
      <c r="G273" t="s">
        <v>552</v>
      </c>
      <c r="H273" t="s">
        <v>562</v>
      </c>
      <c r="I273" t="s">
        <v>567</v>
      </c>
      <c r="J273" s="8">
        <v>28500</v>
      </c>
      <c r="K273" t="s">
        <v>572</v>
      </c>
    </row>
    <row r="274" spans="1:11" ht="17">
      <c r="A274">
        <v>273</v>
      </c>
      <c r="B274" s="5">
        <v>46195</v>
      </c>
      <c r="C274" t="s">
        <v>28</v>
      </c>
      <c r="D274" t="s">
        <v>33</v>
      </c>
      <c r="E274" t="s">
        <v>41</v>
      </c>
      <c r="F274" t="s">
        <v>329</v>
      </c>
      <c r="G274" t="s">
        <v>551</v>
      </c>
      <c r="H274" t="s">
        <v>563</v>
      </c>
      <c r="I274" t="s">
        <v>566</v>
      </c>
      <c r="J274" s="8">
        <v>261000</v>
      </c>
      <c r="K274" t="s">
        <v>572</v>
      </c>
    </row>
    <row r="275" spans="1:11" ht="17">
      <c r="A275">
        <v>274</v>
      </c>
      <c r="B275" s="5">
        <v>46198</v>
      </c>
      <c r="C275" t="s">
        <v>27</v>
      </c>
      <c r="D275" t="s">
        <v>38</v>
      </c>
      <c r="E275" t="s">
        <v>39</v>
      </c>
      <c r="F275" t="s">
        <v>330</v>
      </c>
      <c r="G275" t="s">
        <v>550</v>
      </c>
      <c r="H275" t="s">
        <v>564</v>
      </c>
      <c r="I275" t="s">
        <v>566</v>
      </c>
      <c r="J275" s="8">
        <v>49000</v>
      </c>
      <c r="K275" t="s">
        <v>570</v>
      </c>
    </row>
    <row r="276" spans="1:11" ht="17">
      <c r="A276">
        <v>275</v>
      </c>
      <c r="B276" s="5">
        <v>46200</v>
      </c>
      <c r="C276" t="s">
        <v>26</v>
      </c>
      <c r="D276" t="s">
        <v>35</v>
      </c>
      <c r="E276" t="s">
        <v>46</v>
      </c>
      <c r="F276" t="s">
        <v>331</v>
      </c>
      <c r="G276" t="s">
        <v>553</v>
      </c>
      <c r="H276" t="s">
        <v>563</v>
      </c>
      <c r="I276" t="s">
        <v>569</v>
      </c>
      <c r="J276" s="8">
        <v>269000</v>
      </c>
      <c r="K276" t="s">
        <v>572</v>
      </c>
    </row>
    <row r="277" spans="1:11" ht="17">
      <c r="A277">
        <v>276</v>
      </c>
      <c r="B277" s="5">
        <v>46201</v>
      </c>
      <c r="C277" t="s">
        <v>25</v>
      </c>
      <c r="D277" t="s">
        <v>34</v>
      </c>
      <c r="E277" t="s">
        <v>55</v>
      </c>
      <c r="F277" t="s">
        <v>332</v>
      </c>
      <c r="G277" t="s">
        <v>554</v>
      </c>
      <c r="H277" t="s">
        <v>562</v>
      </c>
      <c r="I277" t="s">
        <v>566</v>
      </c>
      <c r="J277" s="8">
        <v>16500</v>
      </c>
      <c r="K277" t="s">
        <v>571</v>
      </c>
    </row>
    <row r="278" spans="1:11" ht="17">
      <c r="A278">
        <v>277</v>
      </c>
      <c r="B278" s="5">
        <v>46204</v>
      </c>
      <c r="C278" t="s">
        <v>30</v>
      </c>
      <c r="D278" t="s">
        <v>33</v>
      </c>
      <c r="E278" t="s">
        <v>43</v>
      </c>
      <c r="F278" t="s">
        <v>333</v>
      </c>
      <c r="G278" t="s">
        <v>561</v>
      </c>
      <c r="H278" t="s">
        <v>562</v>
      </c>
      <c r="I278" t="s">
        <v>566</v>
      </c>
      <c r="J278" s="8">
        <v>299000</v>
      </c>
      <c r="K278" t="s">
        <v>572</v>
      </c>
    </row>
    <row r="279" spans="1:11" ht="17">
      <c r="A279">
        <v>278</v>
      </c>
      <c r="B279" s="5">
        <v>46206</v>
      </c>
      <c r="C279" t="s">
        <v>29</v>
      </c>
      <c r="D279" t="s">
        <v>38</v>
      </c>
      <c r="E279" t="s">
        <v>42</v>
      </c>
      <c r="F279" t="s">
        <v>334</v>
      </c>
      <c r="G279" t="s">
        <v>555</v>
      </c>
      <c r="H279" t="s">
        <v>562</v>
      </c>
      <c r="I279" t="s">
        <v>568</v>
      </c>
      <c r="J279" s="8">
        <v>5000</v>
      </c>
      <c r="K279" t="s">
        <v>573</v>
      </c>
    </row>
    <row r="280" spans="1:11" ht="17">
      <c r="A280">
        <v>279</v>
      </c>
      <c r="B280" s="5">
        <v>46208</v>
      </c>
      <c r="C280" t="s">
        <v>14</v>
      </c>
      <c r="D280" t="s">
        <v>38</v>
      </c>
      <c r="E280" t="s">
        <v>54</v>
      </c>
      <c r="F280" t="s">
        <v>335</v>
      </c>
      <c r="G280" t="s">
        <v>556</v>
      </c>
      <c r="H280" t="s">
        <v>564</v>
      </c>
      <c r="I280" t="s">
        <v>567</v>
      </c>
      <c r="J280" s="8">
        <v>44500</v>
      </c>
      <c r="K280" t="s">
        <v>572</v>
      </c>
    </row>
    <row r="281" spans="1:11" ht="17">
      <c r="A281">
        <v>280</v>
      </c>
      <c r="B281" s="5">
        <v>46210</v>
      </c>
      <c r="C281" t="s">
        <v>16</v>
      </c>
      <c r="D281" t="s">
        <v>34</v>
      </c>
      <c r="E281" t="s">
        <v>44</v>
      </c>
      <c r="F281" t="s">
        <v>336</v>
      </c>
      <c r="G281" t="s">
        <v>557</v>
      </c>
      <c r="H281" t="s">
        <v>564</v>
      </c>
      <c r="I281" t="s">
        <v>566</v>
      </c>
      <c r="J281" s="8">
        <v>94000</v>
      </c>
      <c r="K281" t="s">
        <v>572</v>
      </c>
    </row>
    <row r="282" spans="1:11" ht="17">
      <c r="A282">
        <v>281</v>
      </c>
      <c r="B282" s="5">
        <v>46213</v>
      </c>
      <c r="C282" t="s">
        <v>14</v>
      </c>
      <c r="D282" t="s">
        <v>38</v>
      </c>
      <c r="E282" t="s">
        <v>49</v>
      </c>
      <c r="F282" t="s">
        <v>337</v>
      </c>
      <c r="G282" t="s">
        <v>558</v>
      </c>
      <c r="H282" t="s">
        <v>564</v>
      </c>
      <c r="I282" t="s">
        <v>568</v>
      </c>
      <c r="J282" s="8">
        <v>21500</v>
      </c>
      <c r="K282" t="s">
        <v>571</v>
      </c>
    </row>
    <row r="283" spans="1:11" ht="17">
      <c r="A283">
        <v>282</v>
      </c>
      <c r="B283" s="5">
        <v>46215</v>
      </c>
      <c r="C283" t="s">
        <v>27</v>
      </c>
      <c r="D283" t="s">
        <v>38</v>
      </c>
      <c r="E283" t="s">
        <v>49</v>
      </c>
      <c r="F283" t="s">
        <v>338</v>
      </c>
      <c r="G283" t="s">
        <v>559</v>
      </c>
      <c r="H283" t="s">
        <v>562</v>
      </c>
      <c r="I283" t="s">
        <v>567</v>
      </c>
      <c r="J283" s="8">
        <v>260500</v>
      </c>
      <c r="K283" t="s">
        <v>572</v>
      </c>
    </row>
    <row r="284" spans="1:11" ht="17">
      <c r="A284">
        <v>283</v>
      </c>
      <c r="B284" s="5">
        <v>46218</v>
      </c>
      <c r="C284" t="s">
        <v>15</v>
      </c>
      <c r="D284" t="s">
        <v>33</v>
      </c>
      <c r="E284" t="s">
        <v>45</v>
      </c>
      <c r="F284" t="s">
        <v>339</v>
      </c>
      <c r="G284" t="s">
        <v>560</v>
      </c>
      <c r="H284" t="s">
        <v>564</v>
      </c>
      <c r="I284" t="s">
        <v>567</v>
      </c>
      <c r="J284" s="8">
        <v>132000</v>
      </c>
      <c r="K284" t="s">
        <v>573</v>
      </c>
    </row>
    <row r="285" spans="1:11" ht="17">
      <c r="A285">
        <v>284</v>
      </c>
      <c r="B285" s="5">
        <v>46220</v>
      </c>
      <c r="C285" t="s">
        <v>16</v>
      </c>
      <c r="D285" t="s">
        <v>34</v>
      </c>
      <c r="E285" t="s">
        <v>55</v>
      </c>
      <c r="F285" t="s">
        <v>340</v>
      </c>
      <c r="G285" t="s">
        <v>552</v>
      </c>
      <c r="H285" t="s">
        <v>562</v>
      </c>
      <c r="I285" t="s">
        <v>567</v>
      </c>
      <c r="J285" s="8">
        <v>73000</v>
      </c>
      <c r="K285" t="s">
        <v>570</v>
      </c>
    </row>
    <row r="286" spans="1:11" ht="17">
      <c r="A286">
        <v>285</v>
      </c>
      <c r="B286" s="5">
        <v>46223</v>
      </c>
      <c r="C286" t="s">
        <v>23</v>
      </c>
      <c r="D286" t="s">
        <v>35</v>
      </c>
      <c r="E286" t="s">
        <v>46</v>
      </c>
      <c r="F286" t="s">
        <v>341</v>
      </c>
      <c r="G286" t="s">
        <v>551</v>
      </c>
      <c r="H286" t="s">
        <v>562</v>
      </c>
      <c r="I286" t="s">
        <v>569</v>
      </c>
      <c r="J286" s="8">
        <v>122000</v>
      </c>
      <c r="K286" t="s">
        <v>572</v>
      </c>
    </row>
    <row r="287" spans="1:11" ht="17">
      <c r="A287">
        <v>286</v>
      </c>
      <c r="B287" s="5">
        <v>46225</v>
      </c>
      <c r="C287" t="s">
        <v>15</v>
      </c>
      <c r="D287" t="s">
        <v>33</v>
      </c>
      <c r="E287" t="s">
        <v>53</v>
      </c>
      <c r="F287" t="s">
        <v>342</v>
      </c>
      <c r="G287" t="s">
        <v>550</v>
      </c>
      <c r="H287" t="s">
        <v>562</v>
      </c>
      <c r="I287" t="s">
        <v>567</v>
      </c>
      <c r="J287" s="8">
        <v>598000</v>
      </c>
      <c r="K287" t="s">
        <v>572</v>
      </c>
    </row>
    <row r="288" spans="1:11" ht="17">
      <c r="A288">
        <v>287</v>
      </c>
      <c r="B288" s="5">
        <v>46227</v>
      </c>
      <c r="C288" t="s">
        <v>21</v>
      </c>
      <c r="D288" t="s">
        <v>37</v>
      </c>
      <c r="E288" t="s">
        <v>48</v>
      </c>
      <c r="F288" t="s">
        <v>343</v>
      </c>
      <c r="G288" t="s">
        <v>553</v>
      </c>
      <c r="H288" t="s">
        <v>563</v>
      </c>
      <c r="I288" t="s">
        <v>567</v>
      </c>
      <c r="J288" s="8">
        <v>225000</v>
      </c>
      <c r="K288" t="s">
        <v>570</v>
      </c>
    </row>
    <row r="289" spans="1:11" ht="17">
      <c r="A289">
        <v>288</v>
      </c>
      <c r="B289" s="5">
        <v>46228</v>
      </c>
      <c r="C289" t="s">
        <v>15</v>
      </c>
      <c r="D289" t="s">
        <v>33</v>
      </c>
      <c r="E289" t="s">
        <v>43</v>
      </c>
      <c r="F289" t="s">
        <v>344</v>
      </c>
      <c r="G289" t="s">
        <v>554</v>
      </c>
      <c r="H289" t="s">
        <v>563</v>
      </c>
      <c r="I289" t="s">
        <v>565</v>
      </c>
      <c r="J289" s="8">
        <v>14500</v>
      </c>
      <c r="K289" t="s">
        <v>572</v>
      </c>
    </row>
    <row r="290" spans="1:11" ht="17">
      <c r="A290">
        <v>289</v>
      </c>
      <c r="B290" s="5">
        <v>46230</v>
      </c>
      <c r="C290" t="s">
        <v>29</v>
      </c>
      <c r="D290" t="s">
        <v>38</v>
      </c>
      <c r="E290" t="s">
        <v>58</v>
      </c>
      <c r="F290" t="s">
        <v>345</v>
      </c>
      <c r="G290" t="s">
        <v>555</v>
      </c>
      <c r="H290" t="s">
        <v>564</v>
      </c>
      <c r="I290" t="s">
        <v>569</v>
      </c>
      <c r="J290" s="8">
        <v>9500</v>
      </c>
      <c r="K290" t="s">
        <v>573</v>
      </c>
    </row>
    <row r="291" spans="1:11" ht="17">
      <c r="A291">
        <v>290</v>
      </c>
      <c r="B291" s="5">
        <v>46233</v>
      </c>
      <c r="C291" t="s">
        <v>21</v>
      </c>
      <c r="D291" t="s">
        <v>37</v>
      </c>
      <c r="E291" t="s">
        <v>55</v>
      </c>
      <c r="F291" t="s">
        <v>346</v>
      </c>
      <c r="G291" t="s">
        <v>556</v>
      </c>
      <c r="H291" t="s">
        <v>563</v>
      </c>
      <c r="I291" t="s">
        <v>567</v>
      </c>
      <c r="J291" s="8">
        <v>25000</v>
      </c>
      <c r="K291" t="s">
        <v>572</v>
      </c>
    </row>
    <row r="292" spans="1:11" ht="17">
      <c r="A292">
        <v>291</v>
      </c>
      <c r="B292" s="5">
        <v>46234</v>
      </c>
      <c r="C292" t="s">
        <v>21</v>
      </c>
      <c r="D292" t="s">
        <v>37</v>
      </c>
      <c r="E292" t="s">
        <v>48</v>
      </c>
      <c r="F292" t="s">
        <v>347</v>
      </c>
      <c r="G292" t="s">
        <v>557</v>
      </c>
      <c r="H292" t="s">
        <v>564</v>
      </c>
      <c r="I292" t="s">
        <v>565</v>
      </c>
      <c r="J292" s="8">
        <v>449500</v>
      </c>
      <c r="K292" t="s">
        <v>572</v>
      </c>
    </row>
    <row r="293" spans="1:11" ht="17">
      <c r="A293">
        <v>292</v>
      </c>
      <c r="B293" s="5">
        <v>46237</v>
      </c>
      <c r="C293" t="s">
        <v>15</v>
      </c>
      <c r="D293" t="s">
        <v>33</v>
      </c>
      <c r="E293" t="s">
        <v>41</v>
      </c>
      <c r="F293" t="s">
        <v>348</v>
      </c>
      <c r="G293" t="s">
        <v>561</v>
      </c>
      <c r="H293" t="s">
        <v>564</v>
      </c>
      <c r="I293" t="s">
        <v>565</v>
      </c>
      <c r="J293" s="8">
        <v>133500</v>
      </c>
      <c r="K293" t="s">
        <v>571</v>
      </c>
    </row>
    <row r="294" spans="1:11" ht="17">
      <c r="A294">
        <v>293</v>
      </c>
      <c r="B294" s="5">
        <v>46239</v>
      </c>
      <c r="C294" t="s">
        <v>20</v>
      </c>
      <c r="D294" t="s">
        <v>33</v>
      </c>
      <c r="E294" t="s">
        <v>41</v>
      </c>
      <c r="F294" t="s">
        <v>349</v>
      </c>
      <c r="G294" t="s">
        <v>558</v>
      </c>
      <c r="H294" t="s">
        <v>563</v>
      </c>
      <c r="I294" t="s">
        <v>567</v>
      </c>
      <c r="J294" s="8">
        <v>174500</v>
      </c>
      <c r="K294" t="s">
        <v>573</v>
      </c>
    </row>
    <row r="295" spans="1:11" ht="17">
      <c r="A295">
        <v>294</v>
      </c>
      <c r="B295" s="5">
        <v>46241</v>
      </c>
      <c r="C295" t="s">
        <v>16</v>
      </c>
      <c r="D295" t="s">
        <v>34</v>
      </c>
      <c r="E295" t="s">
        <v>55</v>
      </c>
      <c r="F295" t="s">
        <v>350</v>
      </c>
      <c r="G295" t="s">
        <v>559</v>
      </c>
      <c r="H295" t="s">
        <v>564</v>
      </c>
      <c r="I295" t="s">
        <v>568</v>
      </c>
      <c r="J295" s="8">
        <v>26000</v>
      </c>
      <c r="K295" t="s">
        <v>572</v>
      </c>
    </row>
    <row r="296" spans="1:11" ht="17">
      <c r="A296">
        <v>295</v>
      </c>
      <c r="B296" s="5">
        <v>46243</v>
      </c>
      <c r="C296" t="s">
        <v>29</v>
      </c>
      <c r="D296" t="s">
        <v>38</v>
      </c>
      <c r="E296" t="s">
        <v>42</v>
      </c>
      <c r="F296" t="s">
        <v>351</v>
      </c>
      <c r="G296" t="s">
        <v>552</v>
      </c>
      <c r="H296" t="s">
        <v>562</v>
      </c>
      <c r="I296" t="s">
        <v>566</v>
      </c>
      <c r="J296" s="8">
        <v>421000</v>
      </c>
      <c r="K296" t="s">
        <v>570</v>
      </c>
    </row>
    <row r="297" spans="1:11" ht="17">
      <c r="A297">
        <v>296</v>
      </c>
      <c r="B297" s="5">
        <v>46244</v>
      </c>
      <c r="C297" t="s">
        <v>21</v>
      </c>
      <c r="D297" t="s">
        <v>37</v>
      </c>
      <c r="E297" t="s">
        <v>55</v>
      </c>
      <c r="F297" t="s">
        <v>352</v>
      </c>
      <c r="G297" t="s">
        <v>551</v>
      </c>
      <c r="H297" t="s">
        <v>562</v>
      </c>
      <c r="I297" t="s">
        <v>565</v>
      </c>
      <c r="J297" s="8">
        <v>19500</v>
      </c>
      <c r="K297" t="s">
        <v>572</v>
      </c>
    </row>
    <row r="298" spans="1:11" ht="17">
      <c r="A298">
        <v>297</v>
      </c>
      <c r="B298" s="5">
        <v>46246</v>
      </c>
      <c r="C298" t="s">
        <v>17</v>
      </c>
      <c r="D298" t="s">
        <v>34</v>
      </c>
      <c r="E298" t="s">
        <v>52</v>
      </c>
      <c r="F298" t="s">
        <v>353</v>
      </c>
      <c r="G298" t="s">
        <v>550</v>
      </c>
      <c r="H298" t="s">
        <v>562</v>
      </c>
      <c r="I298" t="s">
        <v>568</v>
      </c>
      <c r="J298" s="8">
        <v>424000</v>
      </c>
      <c r="K298" t="s">
        <v>570</v>
      </c>
    </row>
    <row r="299" spans="1:11" ht="17">
      <c r="A299">
        <v>298</v>
      </c>
      <c r="B299" s="5">
        <v>46248</v>
      </c>
      <c r="C299" t="s">
        <v>25</v>
      </c>
      <c r="D299" t="s">
        <v>34</v>
      </c>
      <c r="E299" t="s">
        <v>42</v>
      </c>
      <c r="F299" t="s">
        <v>354</v>
      </c>
      <c r="G299" t="s">
        <v>553</v>
      </c>
      <c r="H299" t="s">
        <v>564</v>
      </c>
      <c r="I299" t="s">
        <v>569</v>
      </c>
      <c r="J299" s="8">
        <v>556000</v>
      </c>
      <c r="K299" t="s">
        <v>571</v>
      </c>
    </row>
    <row r="300" spans="1:11" ht="17">
      <c r="A300">
        <v>299</v>
      </c>
      <c r="B300" s="5">
        <v>46250</v>
      </c>
      <c r="C300" t="s">
        <v>32</v>
      </c>
      <c r="D300" t="s">
        <v>35</v>
      </c>
      <c r="E300" t="s">
        <v>50</v>
      </c>
      <c r="F300" t="s">
        <v>355</v>
      </c>
      <c r="G300" t="s">
        <v>554</v>
      </c>
      <c r="H300" t="s">
        <v>562</v>
      </c>
      <c r="I300" t="s">
        <v>566</v>
      </c>
      <c r="J300" s="8">
        <v>87500</v>
      </c>
      <c r="K300" t="s">
        <v>572</v>
      </c>
    </row>
    <row r="301" spans="1:11" ht="17">
      <c r="A301">
        <v>300</v>
      </c>
      <c r="B301" s="5">
        <v>46252</v>
      </c>
      <c r="C301" t="s">
        <v>27</v>
      </c>
      <c r="D301" t="s">
        <v>38</v>
      </c>
      <c r="E301" t="s">
        <v>54</v>
      </c>
      <c r="F301" t="s">
        <v>356</v>
      </c>
      <c r="G301" t="s">
        <v>555</v>
      </c>
      <c r="H301" t="s">
        <v>563</v>
      </c>
      <c r="I301" t="s">
        <v>569</v>
      </c>
      <c r="J301" s="8">
        <v>24000</v>
      </c>
      <c r="K301" t="s">
        <v>570</v>
      </c>
    </row>
    <row r="302" spans="1:11" ht="17">
      <c r="A302">
        <v>301</v>
      </c>
      <c r="B302" s="5">
        <v>46254</v>
      </c>
      <c r="C302" t="s">
        <v>14</v>
      </c>
      <c r="D302" t="s">
        <v>38</v>
      </c>
      <c r="E302" t="s">
        <v>49</v>
      </c>
      <c r="F302" t="s">
        <v>357</v>
      </c>
      <c r="G302" t="s">
        <v>556</v>
      </c>
      <c r="H302" t="s">
        <v>564</v>
      </c>
      <c r="I302" t="s">
        <v>569</v>
      </c>
      <c r="J302" s="8">
        <v>30000</v>
      </c>
      <c r="K302" t="s">
        <v>572</v>
      </c>
    </row>
    <row r="303" spans="1:11" ht="17">
      <c r="A303">
        <v>302</v>
      </c>
      <c r="B303" s="5">
        <v>46256</v>
      </c>
      <c r="C303" t="s">
        <v>25</v>
      </c>
      <c r="D303" t="s">
        <v>34</v>
      </c>
      <c r="E303" t="s">
        <v>42</v>
      </c>
      <c r="F303" t="s">
        <v>358</v>
      </c>
      <c r="G303" t="s">
        <v>557</v>
      </c>
      <c r="H303" t="s">
        <v>563</v>
      </c>
      <c r="I303" t="s">
        <v>565</v>
      </c>
      <c r="J303" s="8">
        <v>481000</v>
      </c>
      <c r="K303" t="s">
        <v>573</v>
      </c>
    </row>
    <row r="304" spans="1:11" ht="17">
      <c r="A304">
        <v>303</v>
      </c>
      <c r="B304" s="5">
        <v>46258</v>
      </c>
      <c r="C304" t="s">
        <v>26</v>
      </c>
      <c r="D304" t="s">
        <v>35</v>
      </c>
      <c r="E304" t="s">
        <v>46</v>
      </c>
      <c r="F304" t="s">
        <v>359</v>
      </c>
      <c r="G304" t="s">
        <v>560</v>
      </c>
      <c r="H304" t="s">
        <v>562</v>
      </c>
      <c r="I304" t="s">
        <v>566</v>
      </c>
      <c r="J304" s="8">
        <v>434500</v>
      </c>
      <c r="K304" t="s">
        <v>572</v>
      </c>
    </row>
    <row r="305" spans="1:11" ht="17">
      <c r="A305">
        <v>304</v>
      </c>
      <c r="B305" s="5">
        <v>46260</v>
      </c>
      <c r="C305" t="s">
        <v>12</v>
      </c>
      <c r="D305" t="s">
        <v>38</v>
      </c>
      <c r="E305" t="s">
        <v>54</v>
      </c>
      <c r="F305" t="s">
        <v>360</v>
      </c>
      <c r="G305" t="s">
        <v>558</v>
      </c>
      <c r="H305" t="s">
        <v>562</v>
      </c>
      <c r="I305" t="s">
        <v>565</v>
      </c>
      <c r="J305" s="8">
        <v>19000</v>
      </c>
      <c r="K305" t="s">
        <v>570</v>
      </c>
    </row>
    <row r="306" spans="1:11" ht="17">
      <c r="A306">
        <v>305</v>
      </c>
      <c r="B306" s="5">
        <v>46262</v>
      </c>
      <c r="C306" t="s">
        <v>24</v>
      </c>
      <c r="D306" t="s">
        <v>35</v>
      </c>
      <c r="E306" t="s">
        <v>46</v>
      </c>
      <c r="F306" t="s">
        <v>361</v>
      </c>
      <c r="G306" t="s">
        <v>559</v>
      </c>
      <c r="H306" t="s">
        <v>562</v>
      </c>
      <c r="I306" t="s">
        <v>568</v>
      </c>
      <c r="J306" s="8">
        <v>11000</v>
      </c>
      <c r="K306" t="s">
        <v>573</v>
      </c>
    </row>
    <row r="307" spans="1:11" ht="17">
      <c r="A307">
        <v>306</v>
      </c>
      <c r="B307" s="5">
        <v>46264</v>
      </c>
      <c r="C307" t="s">
        <v>29</v>
      </c>
      <c r="D307" t="s">
        <v>38</v>
      </c>
      <c r="E307" t="s">
        <v>58</v>
      </c>
      <c r="F307" t="s">
        <v>362</v>
      </c>
      <c r="G307" t="s">
        <v>552</v>
      </c>
      <c r="H307" t="s">
        <v>562</v>
      </c>
      <c r="I307" t="s">
        <v>566</v>
      </c>
      <c r="J307" s="8">
        <v>196500</v>
      </c>
      <c r="K307" t="s">
        <v>572</v>
      </c>
    </row>
    <row r="308" spans="1:11" ht="17">
      <c r="A308">
        <v>307</v>
      </c>
      <c r="B308" s="5">
        <v>46265</v>
      </c>
      <c r="C308" t="s">
        <v>12</v>
      </c>
      <c r="D308" t="s">
        <v>38</v>
      </c>
      <c r="E308" t="s">
        <v>39</v>
      </c>
      <c r="F308" t="s">
        <v>363</v>
      </c>
      <c r="G308" t="s">
        <v>551</v>
      </c>
      <c r="H308" t="s">
        <v>562</v>
      </c>
      <c r="I308" t="s">
        <v>566</v>
      </c>
      <c r="J308" s="8">
        <v>658500</v>
      </c>
      <c r="K308" t="s">
        <v>572</v>
      </c>
    </row>
    <row r="309" spans="1:11" ht="17">
      <c r="A309">
        <v>308</v>
      </c>
      <c r="B309" s="5">
        <v>46267</v>
      </c>
      <c r="C309" t="s">
        <v>12</v>
      </c>
      <c r="D309" t="s">
        <v>38</v>
      </c>
      <c r="E309" t="s">
        <v>49</v>
      </c>
      <c r="F309" t="s">
        <v>364</v>
      </c>
      <c r="G309" t="s">
        <v>550</v>
      </c>
      <c r="H309" t="s">
        <v>564</v>
      </c>
      <c r="I309" t="s">
        <v>568</v>
      </c>
      <c r="J309" s="8">
        <v>65500</v>
      </c>
      <c r="K309" t="s">
        <v>570</v>
      </c>
    </row>
    <row r="310" spans="1:11" ht="17">
      <c r="A310">
        <v>309</v>
      </c>
      <c r="B310" s="5">
        <v>46268</v>
      </c>
      <c r="C310" t="s">
        <v>23</v>
      </c>
      <c r="D310" t="s">
        <v>35</v>
      </c>
      <c r="E310" t="s">
        <v>57</v>
      </c>
      <c r="F310" t="s">
        <v>365</v>
      </c>
      <c r="G310" t="s">
        <v>553</v>
      </c>
      <c r="H310" t="s">
        <v>564</v>
      </c>
      <c r="I310" t="s">
        <v>565</v>
      </c>
      <c r="J310" s="8">
        <v>22000</v>
      </c>
      <c r="K310" t="s">
        <v>572</v>
      </c>
    </row>
    <row r="311" spans="1:11" ht="17">
      <c r="A311">
        <v>310</v>
      </c>
      <c r="B311" s="5">
        <v>46270</v>
      </c>
      <c r="C311" t="s">
        <v>26</v>
      </c>
      <c r="D311" t="s">
        <v>35</v>
      </c>
      <c r="E311" t="s">
        <v>58</v>
      </c>
      <c r="F311" t="s">
        <v>366</v>
      </c>
      <c r="G311" t="s">
        <v>554</v>
      </c>
      <c r="H311" t="s">
        <v>564</v>
      </c>
      <c r="I311" t="s">
        <v>567</v>
      </c>
      <c r="J311" s="8">
        <v>20500</v>
      </c>
      <c r="K311" t="s">
        <v>572</v>
      </c>
    </row>
    <row r="312" spans="1:11" ht="17">
      <c r="A312">
        <v>311</v>
      </c>
      <c r="B312" s="5">
        <v>46273</v>
      </c>
      <c r="C312" t="s">
        <v>19</v>
      </c>
      <c r="D312" t="s">
        <v>36</v>
      </c>
      <c r="E312" t="s">
        <v>41</v>
      </c>
      <c r="F312" t="s">
        <v>367</v>
      </c>
      <c r="G312" t="s">
        <v>561</v>
      </c>
      <c r="H312" t="s">
        <v>564</v>
      </c>
      <c r="I312" t="s">
        <v>568</v>
      </c>
      <c r="J312" s="8">
        <v>222500</v>
      </c>
      <c r="K312" t="s">
        <v>570</v>
      </c>
    </row>
    <row r="313" spans="1:11" ht="17">
      <c r="A313">
        <v>312</v>
      </c>
      <c r="B313" s="5">
        <v>46274</v>
      </c>
      <c r="C313" t="s">
        <v>27</v>
      </c>
      <c r="D313" t="s">
        <v>38</v>
      </c>
      <c r="E313" t="s">
        <v>49</v>
      </c>
      <c r="F313" t="s">
        <v>368</v>
      </c>
      <c r="G313" t="s">
        <v>555</v>
      </c>
      <c r="H313" t="s">
        <v>564</v>
      </c>
      <c r="I313" t="s">
        <v>565</v>
      </c>
      <c r="J313" s="8">
        <v>49000</v>
      </c>
      <c r="K313" t="s">
        <v>572</v>
      </c>
    </row>
    <row r="314" spans="1:11" ht="17">
      <c r="A314">
        <v>313</v>
      </c>
      <c r="B314" s="5">
        <v>46276</v>
      </c>
      <c r="C314" t="s">
        <v>23</v>
      </c>
      <c r="D314" t="s">
        <v>35</v>
      </c>
      <c r="E314" t="s">
        <v>46</v>
      </c>
      <c r="F314" t="s">
        <v>369</v>
      </c>
      <c r="G314" t="s">
        <v>556</v>
      </c>
      <c r="H314" t="s">
        <v>562</v>
      </c>
      <c r="I314" t="s">
        <v>568</v>
      </c>
      <c r="J314" s="8">
        <v>353000</v>
      </c>
      <c r="K314" t="s">
        <v>573</v>
      </c>
    </row>
    <row r="315" spans="1:11" ht="17">
      <c r="A315">
        <v>314</v>
      </c>
      <c r="B315" s="5">
        <v>46278</v>
      </c>
      <c r="C315" t="s">
        <v>31</v>
      </c>
      <c r="D315" t="s">
        <v>33</v>
      </c>
      <c r="E315" t="s">
        <v>53</v>
      </c>
      <c r="F315" t="s">
        <v>370</v>
      </c>
      <c r="G315" t="s">
        <v>557</v>
      </c>
      <c r="H315" t="s">
        <v>562</v>
      </c>
      <c r="I315" t="s">
        <v>566</v>
      </c>
      <c r="J315" s="8">
        <v>326500</v>
      </c>
      <c r="K315" t="s">
        <v>570</v>
      </c>
    </row>
    <row r="316" spans="1:11" ht="17">
      <c r="A316">
        <v>315</v>
      </c>
      <c r="B316" s="5">
        <v>46279</v>
      </c>
      <c r="C316" t="s">
        <v>29</v>
      </c>
      <c r="D316" t="s">
        <v>38</v>
      </c>
      <c r="E316" t="s">
        <v>42</v>
      </c>
      <c r="F316" t="s">
        <v>371</v>
      </c>
      <c r="G316" t="s">
        <v>558</v>
      </c>
      <c r="H316" t="s">
        <v>563</v>
      </c>
      <c r="I316" t="s">
        <v>568</v>
      </c>
      <c r="J316" s="8">
        <v>36500</v>
      </c>
      <c r="K316" t="s">
        <v>573</v>
      </c>
    </row>
    <row r="317" spans="1:11" ht="17">
      <c r="A317">
        <v>316</v>
      </c>
      <c r="B317" s="5">
        <v>46282</v>
      </c>
      <c r="C317" t="s">
        <v>28</v>
      </c>
      <c r="D317" t="s">
        <v>33</v>
      </c>
      <c r="E317" t="s">
        <v>56</v>
      </c>
      <c r="F317" t="s">
        <v>372</v>
      </c>
      <c r="G317" t="s">
        <v>559</v>
      </c>
      <c r="H317" t="s">
        <v>562</v>
      </c>
      <c r="I317" t="s">
        <v>568</v>
      </c>
      <c r="J317" s="8">
        <v>366000</v>
      </c>
      <c r="K317" t="s">
        <v>570</v>
      </c>
    </row>
    <row r="318" spans="1:11" ht="17">
      <c r="A318">
        <v>317</v>
      </c>
      <c r="B318" s="5">
        <v>46285</v>
      </c>
      <c r="C318" t="s">
        <v>17</v>
      </c>
      <c r="D318" t="s">
        <v>34</v>
      </c>
      <c r="E318" t="s">
        <v>42</v>
      </c>
      <c r="F318" t="s">
        <v>373</v>
      </c>
      <c r="G318" t="s">
        <v>560</v>
      </c>
      <c r="H318" t="s">
        <v>564</v>
      </c>
      <c r="I318" t="s">
        <v>569</v>
      </c>
      <c r="J318" s="8">
        <v>539500</v>
      </c>
      <c r="K318" t="s">
        <v>572</v>
      </c>
    </row>
    <row r="319" spans="1:11" ht="17">
      <c r="A319">
        <v>318</v>
      </c>
      <c r="B319" s="5">
        <v>46288</v>
      </c>
      <c r="C319" t="s">
        <v>25</v>
      </c>
      <c r="D319" t="s">
        <v>34</v>
      </c>
      <c r="E319" t="s">
        <v>44</v>
      </c>
      <c r="F319" t="s">
        <v>374</v>
      </c>
      <c r="G319" t="s">
        <v>552</v>
      </c>
      <c r="H319" t="s">
        <v>563</v>
      </c>
      <c r="I319" t="s">
        <v>566</v>
      </c>
      <c r="J319" s="8">
        <v>140500</v>
      </c>
      <c r="K319" t="s">
        <v>572</v>
      </c>
    </row>
    <row r="320" spans="1:11" ht="17">
      <c r="A320">
        <v>319</v>
      </c>
      <c r="B320" s="5">
        <v>46290</v>
      </c>
      <c r="C320" t="s">
        <v>14</v>
      </c>
      <c r="D320" t="s">
        <v>38</v>
      </c>
      <c r="E320" t="s">
        <v>54</v>
      </c>
      <c r="F320" t="s">
        <v>375</v>
      </c>
      <c r="G320" t="s">
        <v>551</v>
      </c>
      <c r="H320" t="s">
        <v>563</v>
      </c>
      <c r="I320" t="s">
        <v>565</v>
      </c>
      <c r="J320" s="8">
        <v>33000</v>
      </c>
      <c r="K320" t="s">
        <v>572</v>
      </c>
    </row>
    <row r="321" spans="1:11" ht="17">
      <c r="A321">
        <v>320</v>
      </c>
      <c r="B321" s="5">
        <v>46291</v>
      </c>
      <c r="C321" t="s">
        <v>24</v>
      </c>
      <c r="D321" t="s">
        <v>35</v>
      </c>
      <c r="E321" t="s">
        <v>51</v>
      </c>
      <c r="F321" t="s">
        <v>376</v>
      </c>
      <c r="G321" t="s">
        <v>550</v>
      </c>
      <c r="H321" t="s">
        <v>562</v>
      </c>
      <c r="I321" t="s">
        <v>569</v>
      </c>
      <c r="J321" s="8">
        <v>188500</v>
      </c>
      <c r="K321" t="s">
        <v>572</v>
      </c>
    </row>
    <row r="322" spans="1:11" ht="17">
      <c r="A322">
        <v>321</v>
      </c>
      <c r="B322" s="5">
        <v>46293</v>
      </c>
      <c r="C322" t="s">
        <v>24</v>
      </c>
      <c r="D322" t="s">
        <v>35</v>
      </c>
      <c r="E322" t="s">
        <v>57</v>
      </c>
      <c r="F322" t="s">
        <v>377</v>
      </c>
      <c r="G322" t="s">
        <v>553</v>
      </c>
      <c r="H322" t="s">
        <v>563</v>
      </c>
      <c r="I322" t="s">
        <v>568</v>
      </c>
      <c r="J322" s="8">
        <v>664500</v>
      </c>
      <c r="K322" t="s">
        <v>571</v>
      </c>
    </row>
    <row r="323" spans="1:11" ht="17">
      <c r="A323">
        <v>322</v>
      </c>
      <c r="B323" s="5">
        <v>46296</v>
      </c>
      <c r="C323" t="s">
        <v>15</v>
      </c>
      <c r="D323" t="s">
        <v>33</v>
      </c>
      <c r="E323" t="s">
        <v>45</v>
      </c>
      <c r="F323" t="s">
        <v>378</v>
      </c>
      <c r="G323" t="s">
        <v>554</v>
      </c>
      <c r="H323" t="s">
        <v>563</v>
      </c>
      <c r="I323" t="s">
        <v>568</v>
      </c>
      <c r="J323" s="8">
        <v>12000</v>
      </c>
      <c r="K323" t="s">
        <v>573</v>
      </c>
    </row>
    <row r="324" spans="1:11" ht="17">
      <c r="A324">
        <v>323</v>
      </c>
      <c r="B324" s="5">
        <v>46298</v>
      </c>
      <c r="C324" t="s">
        <v>29</v>
      </c>
      <c r="D324" t="s">
        <v>38</v>
      </c>
      <c r="E324" t="s">
        <v>58</v>
      </c>
      <c r="F324" t="s">
        <v>379</v>
      </c>
      <c r="G324" t="s">
        <v>555</v>
      </c>
      <c r="H324" t="s">
        <v>562</v>
      </c>
      <c r="I324" t="s">
        <v>566</v>
      </c>
      <c r="J324" s="8">
        <v>320000</v>
      </c>
      <c r="K324" t="s">
        <v>570</v>
      </c>
    </row>
    <row r="325" spans="1:11" ht="17">
      <c r="A325">
        <v>324</v>
      </c>
      <c r="B325" s="5">
        <v>46300</v>
      </c>
      <c r="C325" t="s">
        <v>25</v>
      </c>
      <c r="D325" t="s">
        <v>34</v>
      </c>
      <c r="E325" t="s">
        <v>57</v>
      </c>
      <c r="F325" t="s">
        <v>68</v>
      </c>
      <c r="G325" t="s">
        <v>556</v>
      </c>
      <c r="H325" t="s">
        <v>563</v>
      </c>
      <c r="I325" t="s">
        <v>565</v>
      </c>
      <c r="J325" s="8">
        <v>382500</v>
      </c>
      <c r="K325" t="s">
        <v>572</v>
      </c>
    </row>
    <row r="326" spans="1:11" ht="17">
      <c r="A326">
        <v>325</v>
      </c>
      <c r="B326" s="5">
        <v>46303</v>
      </c>
      <c r="C326" t="s">
        <v>32</v>
      </c>
      <c r="D326" t="s">
        <v>35</v>
      </c>
      <c r="E326" t="s">
        <v>51</v>
      </c>
      <c r="F326" t="s">
        <v>99</v>
      </c>
      <c r="G326" t="s">
        <v>557</v>
      </c>
      <c r="H326" t="s">
        <v>564</v>
      </c>
      <c r="I326" t="s">
        <v>568</v>
      </c>
      <c r="J326" s="8">
        <v>16500</v>
      </c>
      <c r="K326" t="s">
        <v>572</v>
      </c>
    </row>
    <row r="327" spans="1:11" ht="17">
      <c r="A327">
        <v>326</v>
      </c>
      <c r="B327" s="5">
        <v>46306</v>
      </c>
      <c r="C327" t="s">
        <v>24</v>
      </c>
      <c r="D327" t="s">
        <v>35</v>
      </c>
      <c r="E327" t="s">
        <v>51</v>
      </c>
      <c r="F327" t="s">
        <v>380</v>
      </c>
      <c r="G327" t="s">
        <v>561</v>
      </c>
      <c r="H327" t="s">
        <v>563</v>
      </c>
      <c r="I327" t="s">
        <v>568</v>
      </c>
      <c r="J327" s="8">
        <v>789500</v>
      </c>
      <c r="K327" t="s">
        <v>570</v>
      </c>
    </row>
    <row r="328" spans="1:11" ht="17">
      <c r="A328">
        <v>327</v>
      </c>
      <c r="B328" s="5">
        <v>46307</v>
      </c>
      <c r="C328" t="s">
        <v>22</v>
      </c>
      <c r="D328" t="s">
        <v>37</v>
      </c>
      <c r="E328" t="s">
        <v>48</v>
      </c>
      <c r="F328" t="s">
        <v>381</v>
      </c>
      <c r="G328" t="s">
        <v>558</v>
      </c>
      <c r="H328" t="s">
        <v>562</v>
      </c>
      <c r="I328" t="s">
        <v>569</v>
      </c>
      <c r="J328" s="8">
        <v>97500</v>
      </c>
      <c r="K328" t="s">
        <v>570</v>
      </c>
    </row>
    <row r="329" spans="1:11" ht="17">
      <c r="A329">
        <v>328</v>
      </c>
      <c r="B329" s="5">
        <v>46308</v>
      </c>
      <c r="C329" t="s">
        <v>23</v>
      </c>
      <c r="D329" t="s">
        <v>35</v>
      </c>
      <c r="E329" t="s">
        <v>51</v>
      </c>
      <c r="F329" t="s">
        <v>382</v>
      </c>
      <c r="G329" t="s">
        <v>559</v>
      </c>
      <c r="H329" t="s">
        <v>564</v>
      </c>
      <c r="I329" t="s">
        <v>568</v>
      </c>
      <c r="J329" s="8">
        <v>210500</v>
      </c>
      <c r="K329" t="s">
        <v>570</v>
      </c>
    </row>
    <row r="330" spans="1:11" ht="17">
      <c r="A330">
        <v>329</v>
      </c>
      <c r="B330" s="5">
        <v>46310</v>
      </c>
      <c r="C330" t="s">
        <v>27</v>
      </c>
      <c r="D330" t="s">
        <v>38</v>
      </c>
      <c r="E330" t="s">
        <v>49</v>
      </c>
      <c r="F330" t="s">
        <v>383</v>
      </c>
      <c r="G330" t="s">
        <v>552</v>
      </c>
      <c r="H330" t="s">
        <v>564</v>
      </c>
      <c r="I330" t="s">
        <v>566</v>
      </c>
      <c r="J330" s="8">
        <v>62000</v>
      </c>
      <c r="K330" t="s">
        <v>572</v>
      </c>
    </row>
    <row r="331" spans="1:11" ht="17">
      <c r="A331">
        <v>330</v>
      </c>
      <c r="B331" s="5">
        <v>46312</v>
      </c>
      <c r="C331" t="s">
        <v>32</v>
      </c>
      <c r="D331" t="s">
        <v>35</v>
      </c>
      <c r="E331" t="s">
        <v>46</v>
      </c>
      <c r="F331" t="s">
        <v>384</v>
      </c>
      <c r="G331" t="s">
        <v>551</v>
      </c>
      <c r="H331" t="s">
        <v>562</v>
      </c>
      <c r="I331" t="s">
        <v>569</v>
      </c>
      <c r="J331" s="8">
        <v>380500</v>
      </c>
      <c r="K331" t="s">
        <v>572</v>
      </c>
    </row>
    <row r="332" spans="1:11" ht="17">
      <c r="A332">
        <v>331</v>
      </c>
      <c r="B332" s="5">
        <v>46314</v>
      </c>
      <c r="C332" t="s">
        <v>22</v>
      </c>
      <c r="D332" t="s">
        <v>37</v>
      </c>
      <c r="E332" t="s">
        <v>39</v>
      </c>
      <c r="F332" t="s">
        <v>385</v>
      </c>
      <c r="G332" t="s">
        <v>550</v>
      </c>
      <c r="H332" t="s">
        <v>563</v>
      </c>
      <c r="I332" t="s">
        <v>565</v>
      </c>
      <c r="J332" s="8">
        <v>13000</v>
      </c>
      <c r="K332" t="s">
        <v>573</v>
      </c>
    </row>
    <row r="333" spans="1:11" ht="17">
      <c r="A333">
        <v>332</v>
      </c>
      <c r="B333" s="5">
        <v>46317</v>
      </c>
      <c r="C333" t="s">
        <v>19</v>
      </c>
      <c r="D333" t="s">
        <v>36</v>
      </c>
      <c r="E333" t="s">
        <v>41</v>
      </c>
      <c r="F333" t="s">
        <v>386</v>
      </c>
      <c r="G333" t="s">
        <v>553</v>
      </c>
      <c r="H333" t="s">
        <v>562</v>
      </c>
      <c r="I333" t="s">
        <v>569</v>
      </c>
      <c r="J333" s="8">
        <v>27000</v>
      </c>
      <c r="K333" t="s">
        <v>573</v>
      </c>
    </row>
    <row r="334" spans="1:11" ht="17">
      <c r="A334">
        <v>333</v>
      </c>
      <c r="B334" s="5">
        <v>46320</v>
      </c>
      <c r="C334" t="s">
        <v>31</v>
      </c>
      <c r="D334" t="s">
        <v>33</v>
      </c>
      <c r="E334" t="s">
        <v>56</v>
      </c>
      <c r="F334" t="s">
        <v>387</v>
      </c>
      <c r="G334" t="s">
        <v>554</v>
      </c>
      <c r="H334" t="s">
        <v>562</v>
      </c>
      <c r="I334" t="s">
        <v>565</v>
      </c>
      <c r="J334" s="8">
        <v>254500</v>
      </c>
      <c r="K334" t="s">
        <v>572</v>
      </c>
    </row>
    <row r="335" spans="1:11" ht="17">
      <c r="A335">
        <v>334</v>
      </c>
      <c r="B335" s="5">
        <v>46322</v>
      </c>
      <c r="C335" t="s">
        <v>15</v>
      </c>
      <c r="D335" t="s">
        <v>33</v>
      </c>
      <c r="E335" t="s">
        <v>41</v>
      </c>
      <c r="F335" t="s">
        <v>388</v>
      </c>
      <c r="G335" t="s">
        <v>555</v>
      </c>
      <c r="H335" t="s">
        <v>563</v>
      </c>
      <c r="I335" t="s">
        <v>565</v>
      </c>
      <c r="J335" s="8">
        <v>107000</v>
      </c>
      <c r="K335" t="s">
        <v>572</v>
      </c>
    </row>
    <row r="336" spans="1:11" ht="17">
      <c r="A336">
        <v>335</v>
      </c>
      <c r="B336" s="5">
        <v>46324</v>
      </c>
      <c r="C336" t="s">
        <v>23</v>
      </c>
      <c r="D336" t="s">
        <v>35</v>
      </c>
      <c r="E336" t="s">
        <v>58</v>
      </c>
      <c r="F336" t="s">
        <v>389</v>
      </c>
      <c r="G336" t="s">
        <v>556</v>
      </c>
      <c r="H336" t="s">
        <v>564</v>
      </c>
      <c r="I336" t="s">
        <v>566</v>
      </c>
      <c r="J336" s="8">
        <v>405000</v>
      </c>
      <c r="K336" t="s">
        <v>570</v>
      </c>
    </row>
    <row r="337" spans="1:11" ht="17">
      <c r="A337">
        <v>336</v>
      </c>
      <c r="B337" s="5">
        <v>46326</v>
      </c>
      <c r="C337" t="s">
        <v>18</v>
      </c>
      <c r="D337" t="s">
        <v>35</v>
      </c>
      <c r="E337" t="s">
        <v>58</v>
      </c>
      <c r="F337" t="s">
        <v>390</v>
      </c>
      <c r="G337" t="s">
        <v>557</v>
      </c>
      <c r="H337" t="s">
        <v>562</v>
      </c>
      <c r="I337" t="s">
        <v>568</v>
      </c>
      <c r="J337" s="8">
        <v>92000</v>
      </c>
      <c r="K337" t="s">
        <v>573</v>
      </c>
    </row>
    <row r="338" spans="1:11" ht="17">
      <c r="A338">
        <v>337</v>
      </c>
      <c r="B338" s="5">
        <v>46329</v>
      </c>
      <c r="C338" t="s">
        <v>23</v>
      </c>
      <c r="D338" t="s">
        <v>35</v>
      </c>
      <c r="E338" t="s">
        <v>58</v>
      </c>
      <c r="F338" t="s">
        <v>391</v>
      </c>
      <c r="G338" t="s">
        <v>560</v>
      </c>
      <c r="H338" t="s">
        <v>564</v>
      </c>
      <c r="I338" t="s">
        <v>566</v>
      </c>
      <c r="J338" s="8">
        <v>12000</v>
      </c>
      <c r="K338" t="s">
        <v>572</v>
      </c>
    </row>
    <row r="339" spans="1:11" ht="17">
      <c r="A339">
        <v>338</v>
      </c>
      <c r="B339" s="5">
        <v>46330</v>
      </c>
      <c r="C339" t="s">
        <v>30</v>
      </c>
      <c r="D339" t="s">
        <v>33</v>
      </c>
      <c r="E339" t="s">
        <v>53</v>
      </c>
      <c r="F339" t="s">
        <v>392</v>
      </c>
      <c r="G339" t="s">
        <v>558</v>
      </c>
      <c r="H339" t="s">
        <v>564</v>
      </c>
      <c r="I339" t="s">
        <v>569</v>
      </c>
      <c r="J339" s="8">
        <v>6500</v>
      </c>
      <c r="K339" t="s">
        <v>572</v>
      </c>
    </row>
    <row r="340" spans="1:11" ht="17">
      <c r="A340">
        <v>339</v>
      </c>
      <c r="B340" s="5">
        <v>46332</v>
      </c>
      <c r="C340" t="s">
        <v>17</v>
      </c>
      <c r="D340" t="s">
        <v>34</v>
      </c>
      <c r="E340" t="s">
        <v>52</v>
      </c>
      <c r="F340" t="s">
        <v>393</v>
      </c>
      <c r="G340" t="s">
        <v>559</v>
      </c>
      <c r="H340" t="s">
        <v>562</v>
      </c>
      <c r="I340" t="s">
        <v>568</v>
      </c>
      <c r="J340" s="8">
        <v>80500</v>
      </c>
      <c r="K340" t="s">
        <v>571</v>
      </c>
    </row>
    <row r="341" spans="1:11" ht="17">
      <c r="A341">
        <v>340</v>
      </c>
      <c r="B341" s="5">
        <v>46333</v>
      </c>
      <c r="C341" t="s">
        <v>15</v>
      </c>
      <c r="D341" t="s">
        <v>33</v>
      </c>
      <c r="E341" t="s">
        <v>41</v>
      </c>
      <c r="F341" t="s">
        <v>394</v>
      </c>
      <c r="G341" t="s">
        <v>552</v>
      </c>
      <c r="H341" t="s">
        <v>562</v>
      </c>
      <c r="I341" t="s">
        <v>569</v>
      </c>
      <c r="J341" s="8">
        <v>24000</v>
      </c>
      <c r="K341" t="s">
        <v>572</v>
      </c>
    </row>
    <row r="342" spans="1:11" ht="17">
      <c r="A342">
        <v>341</v>
      </c>
      <c r="B342" s="5">
        <v>46335</v>
      </c>
      <c r="C342" t="s">
        <v>23</v>
      </c>
      <c r="D342" t="s">
        <v>35</v>
      </c>
      <c r="E342" t="s">
        <v>51</v>
      </c>
      <c r="F342" t="s">
        <v>395</v>
      </c>
      <c r="G342" t="s">
        <v>551</v>
      </c>
      <c r="H342" t="s">
        <v>563</v>
      </c>
      <c r="I342" t="s">
        <v>566</v>
      </c>
      <c r="J342" s="8">
        <v>57500</v>
      </c>
      <c r="K342" t="s">
        <v>573</v>
      </c>
    </row>
    <row r="343" spans="1:11" ht="17">
      <c r="A343">
        <v>342</v>
      </c>
      <c r="B343" s="5">
        <v>46337</v>
      </c>
      <c r="C343" t="s">
        <v>15</v>
      </c>
      <c r="D343" t="s">
        <v>33</v>
      </c>
      <c r="E343" t="s">
        <v>41</v>
      </c>
      <c r="F343" t="s">
        <v>396</v>
      </c>
      <c r="G343" t="s">
        <v>550</v>
      </c>
      <c r="H343" t="s">
        <v>564</v>
      </c>
      <c r="I343" t="s">
        <v>569</v>
      </c>
      <c r="J343" s="8">
        <v>157500</v>
      </c>
      <c r="K343" t="s">
        <v>572</v>
      </c>
    </row>
    <row r="344" spans="1:11" ht="17">
      <c r="A344">
        <v>343</v>
      </c>
      <c r="B344" s="5">
        <v>46340</v>
      </c>
      <c r="C344" t="s">
        <v>29</v>
      </c>
      <c r="D344" t="s">
        <v>38</v>
      </c>
      <c r="E344" t="s">
        <v>39</v>
      </c>
      <c r="F344" t="s">
        <v>397</v>
      </c>
      <c r="G344" t="s">
        <v>553</v>
      </c>
      <c r="H344" t="s">
        <v>563</v>
      </c>
      <c r="I344" t="s">
        <v>565</v>
      </c>
      <c r="J344" s="8">
        <v>19000</v>
      </c>
      <c r="K344" t="s">
        <v>572</v>
      </c>
    </row>
    <row r="345" spans="1:11" ht="17">
      <c r="A345">
        <v>344</v>
      </c>
      <c r="B345" s="5">
        <v>46343</v>
      </c>
      <c r="C345" t="s">
        <v>22</v>
      </c>
      <c r="D345" t="s">
        <v>37</v>
      </c>
      <c r="E345" t="s">
        <v>48</v>
      </c>
      <c r="F345" t="s">
        <v>398</v>
      </c>
      <c r="G345" t="s">
        <v>554</v>
      </c>
      <c r="H345" t="s">
        <v>562</v>
      </c>
      <c r="I345" t="s">
        <v>568</v>
      </c>
      <c r="J345" s="8">
        <v>73500</v>
      </c>
      <c r="K345" t="s">
        <v>572</v>
      </c>
    </row>
    <row r="346" spans="1:11" ht="17">
      <c r="A346">
        <v>345</v>
      </c>
      <c r="B346" s="5">
        <v>46346</v>
      </c>
      <c r="C346" t="s">
        <v>15</v>
      </c>
      <c r="D346" t="s">
        <v>33</v>
      </c>
      <c r="E346" t="s">
        <v>43</v>
      </c>
      <c r="F346" t="s">
        <v>399</v>
      </c>
      <c r="G346" t="s">
        <v>561</v>
      </c>
      <c r="H346" t="s">
        <v>562</v>
      </c>
      <c r="I346" t="s">
        <v>566</v>
      </c>
      <c r="J346" s="8">
        <v>30500</v>
      </c>
      <c r="K346" t="s">
        <v>572</v>
      </c>
    </row>
    <row r="347" spans="1:11" ht="17">
      <c r="A347">
        <v>346</v>
      </c>
      <c r="B347" s="5">
        <v>46348</v>
      </c>
      <c r="C347" t="s">
        <v>14</v>
      </c>
      <c r="D347" t="s">
        <v>38</v>
      </c>
      <c r="E347" t="s">
        <v>54</v>
      </c>
      <c r="F347" t="s">
        <v>400</v>
      </c>
      <c r="G347" t="s">
        <v>555</v>
      </c>
      <c r="H347" t="s">
        <v>562</v>
      </c>
      <c r="I347" t="s">
        <v>566</v>
      </c>
      <c r="J347" s="8">
        <v>174000</v>
      </c>
      <c r="K347" t="s">
        <v>571</v>
      </c>
    </row>
    <row r="348" spans="1:11" ht="17">
      <c r="A348">
        <v>347</v>
      </c>
      <c r="B348" s="5">
        <v>46351</v>
      </c>
      <c r="C348" t="s">
        <v>16</v>
      </c>
      <c r="D348" t="s">
        <v>34</v>
      </c>
      <c r="E348" t="s">
        <v>42</v>
      </c>
      <c r="F348" t="s">
        <v>401</v>
      </c>
      <c r="G348" t="s">
        <v>556</v>
      </c>
      <c r="H348" t="s">
        <v>563</v>
      </c>
      <c r="I348" t="s">
        <v>568</v>
      </c>
      <c r="J348" s="8">
        <v>7500</v>
      </c>
      <c r="K348" t="s">
        <v>572</v>
      </c>
    </row>
    <row r="349" spans="1:11" ht="17">
      <c r="A349">
        <v>348</v>
      </c>
      <c r="B349" s="5">
        <v>46354</v>
      </c>
      <c r="C349" t="s">
        <v>14</v>
      </c>
      <c r="D349" t="s">
        <v>38</v>
      </c>
      <c r="E349" t="s">
        <v>39</v>
      </c>
      <c r="F349" t="s">
        <v>402</v>
      </c>
      <c r="G349" t="s">
        <v>557</v>
      </c>
      <c r="H349" t="s">
        <v>563</v>
      </c>
      <c r="I349" t="s">
        <v>568</v>
      </c>
      <c r="J349" s="8">
        <v>55000</v>
      </c>
      <c r="K349" t="s">
        <v>570</v>
      </c>
    </row>
    <row r="350" spans="1:11" ht="17">
      <c r="A350">
        <v>349</v>
      </c>
      <c r="B350" s="5">
        <v>46355</v>
      </c>
      <c r="C350" t="s">
        <v>32</v>
      </c>
      <c r="D350" t="s">
        <v>35</v>
      </c>
      <c r="E350" t="s">
        <v>46</v>
      </c>
      <c r="F350" t="s">
        <v>403</v>
      </c>
      <c r="G350" t="s">
        <v>558</v>
      </c>
      <c r="H350" t="s">
        <v>563</v>
      </c>
      <c r="I350" t="s">
        <v>568</v>
      </c>
      <c r="J350" s="8">
        <v>158500</v>
      </c>
      <c r="K350" t="s">
        <v>572</v>
      </c>
    </row>
    <row r="351" spans="1:11" ht="17">
      <c r="A351">
        <v>350</v>
      </c>
      <c r="B351" s="5">
        <v>46357</v>
      </c>
      <c r="C351" t="s">
        <v>23</v>
      </c>
      <c r="D351" t="s">
        <v>35</v>
      </c>
      <c r="E351" t="s">
        <v>57</v>
      </c>
      <c r="F351" t="s">
        <v>404</v>
      </c>
      <c r="G351" t="s">
        <v>559</v>
      </c>
      <c r="H351" t="s">
        <v>562</v>
      </c>
      <c r="I351" t="s">
        <v>568</v>
      </c>
      <c r="J351" s="8">
        <v>319500</v>
      </c>
      <c r="K351" t="s">
        <v>573</v>
      </c>
    </row>
    <row r="352" spans="1:11" ht="17">
      <c r="A352">
        <v>351</v>
      </c>
      <c r="B352" s="5">
        <v>46359</v>
      </c>
      <c r="C352" t="s">
        <v>29</v>
      </c>
      <c r="D352" t="s">
        <v>38</v>
      </c>
      <c r="E352" t="s">
        <v>49</v>
      </c>
      <c r="F352" t="s">
        <v>405</v>
      </c>
      <c r="G352" t="s">
        <v>560</v>
      </c>
      <c r="H352" t="s">
        <v>564</v>
      </c>
      <c r="I352" t="s">
        <v>569</v>
      </c>
      <c r="J352" s="8">
        <v>171000</v>
      </c>
      <c r="K352" t="s">
        <v>573</v>
      </c>
    </row>
    <row r="353" spans="1:11" ht="17">
      <c r="A353">
        <v>352</v>
      </c>
      <c r="B353" s="5">
        <v>46361</v>
      </c>
      <c r="C353" t="s">
        <v>21</v>
      </c>
      <c r="D353" t="s">
        <v>37</v>
      </c>
      <c r="E353" t="s">
        <v>39</v>
      </c>
      <c r="F353" t="s">
        <v>406</v>
      </c>
      <c r="G353" t="s">
        <v>552</v>
      </c>
      <c r="H353" t="s">
        <v>564</v>
      </c>
      <c r="I353" t="s">
        <v>569</v>
      </c>
      <c r="J353" s="8">
        <v>239000</v>
      </c>
      <c r="K353" t="s">
        <v>572</v>
      </c>
    </row>
    <row r="354" spans="1:11" ht="17">
      <c r="A354">
        <v>353</v>
      </c>
      <c r="B354" s="5">
        <v>46363</v>
      </c>
      <c r="C354" t="s">
        <v>19</v>
      </c>
      <c r="D354" t="s">
        <v>36</v>
      </c>
      <c r="E354" t="s">
        <v>56</v>
      </c>
      <c r="F354" t="s">
        <v>112</v>
      </c>
      <c r="G354" t="s">
        <v>551</v>
      </c>
      <c r="H354" t="s">
        <v>563</v>
      </c>
      <c r="I354" t="s">
        <v>567</v>
      </c>
      <c r="J354" s="8">
        <v>195000</v>
      </c>
      <c r="K354" t="s">
        <v>573</v>
      </c>
    </row>
    <row r="355" spans="1:11" ht="17">
      <c r="A355">
        <v>354</v>
      </c>
      <c r="B355" s="5">
        <v>46364</v>
      </c>
      <c r="C355" t="s">
        <v>23</v>
      </c>
      <c r="D355" t="s">
        <v>35</v>
      </c>
      <c r="E355" t="s">
        <v>50</v>
      </c>
      <c r="F355" t="s">
        <v>407</v>
      </c>
      <c r="G355" t="s">
        <v>550</v>
      </c>
      <c r="H355" t="s">
        <v>562</v>
      </c>
      <c r="I355" t="s">
        <v>566</v>
      </c>
      <c r="J355" s="8">
        <v>409000</v>
      </c>
      <c r="K355" t="s">
        <v>573</v>
      </c>
    </row>
    <row r="356" spans="1:11" ht="17">
      <c r="A356">
        <v>355</v>
      </c>
      <c r="B356" s="5">
        <v>46366</v>
      </c>
      <c r="C356" t="s">
        <v>25</v>
      </c>
      <c r="D356" t="s">
        <v>34</v>
      </c>
      <c r="E356" t="s">
        <v>42</v>
      </c>
      <c r="F356" t="s">
        <v>408</v>
      </c>
      <c r="G356" t="s">
        <v>553</v>
      </c>
      <c r="H356" t="s">
        <v>564</v>
      </c>
      <c r="I356" t="s">
        <v>568</v>
      </c>
      <c r="J356" s="8">
        <v>389500</v>
      </c>
      <c r="K356" t="s">
        <v>572</v>
      </c>
    </row>
    <row r="357" spans="1:11" ht="17">
      <c r="A357">
        <v>356</v>
      </c>
      <c r="B357" s="5">
        <v>46368</v>
      </c>
      <c r="C357" t="s">
        <v>15</v>
      </c>
      <c r="D357" t="s">
        <v>33</v>
      </c>
      <c r="E357" t="s">
        <v>53</v>
      </c>
      <c r="F357" t="s">
        <v>409</v>
      </c>
      <c r="G357" t="s">
        <v>554</v>
      </c>
      <c r="H357" t="s">
        <v>563</v>
      </c>
      <c r="I357" t="s">
        <v>569</v>
      </c>
      <c r="J357" s="8">
        <v>27500</v>
      </c>
      <c r="K357" t="s">
        <v>573</v>
      </c>
    </row>
    <row r="358" spans="1:11" ht="17">
      <c r="A358">
        <v>357</v>
      </c>
      <c r="B358" s="5">
        <v>46370</v>
      </c>
      <c r="C358" t="s">
        <v>16</v>
      </c>
      <c r="D358" t="s">
        <v>34</v>
      </c>
      <c r="E358" t="s">
        <v>42</v>
      </c>
      <c r="F358" t="s">
        <v>410</v>
      </c>
      <c r="G358" t="s">
        <v>555</v>
      </c>
      <c r="H358" t="s">
        <v>564</v>
      </c>
      <c r="I358" t="s">
        <v>566</v>
      </c>
      <c r="J358" s="8">
        <v>312000</v>
      </c>
      <c r="K358" t="s">
        <v>572</v>
      </c>
    </row>
    <row r="359" spans="1:11" ht="17">
      <c r="A359">
        <v>358</v>
      </c>
      <c r="B359" s="5">
        <v>46372</v>
      </c>
      <c r="C359" t="s">
        <v>21</v>
      </c>
      <c r="D359" t="s">
        <v>37</v>
      </c>
      <c r="E359" t="s">
        <v>55</v>
      </c>
      <c r="F359" t="s">
        <v>411</v>
      </c>
      <c r="G359" t="s">
        <v>556</v>
      </c>
      <c r="H359" t="s">
        <v>563</v>
      </c>
      <c r="I359" t="s">
        <v>566</v>
      </c>
      <c r="J359" s="8">
        <v>6000</v>
      </c>
      <c r="K359" t="s">
        <v>572</v>
      </c>
    </row>
    <row r="360" spans="1:11" ht="17">
      <c r="A360">
        <v>359</v>
      </c>
      <c r="B360" s="5">
        <v>46374</v>
      </c>
      <c r="C360" t="s">
        <v>21</v>
      </c>
      <c r="D360" t="s">
        <v>37</v>
      </c>
      <c r="E360" t="s">
        <v>55</v>
      </c>
      <c r="F360" t="s">
        <v>412</v>
      </c>
      <c r="G360" t="s">
        <v>557</v>
      </c>
      <c r="H360" t="s">
        <v>562</v>
      </c>
      <c r="I360" t="s">
        <v>568</v>
      </c>
      <c r="J360" s="8">
        <v>427500</v>
      </c>
      <c r="K360" t="s">
        <v>570</v>
      </c>
    </row>
    <row r="361" spans="1:11" ht="17">
      <c r="A361">
        <v>360</v>
      </c>
      <c r="B361" s="5">
        <v>46375</v>
      </c>
      <c r="C361" t="s">
        <v>19</v>
      </c>
      <c r="D361" t="s">
        <v>36</v>
      </c>
      <c r="E361" t="s">
        <v>56</v>
      </c>
      <c r="F361" t="s">
        <v>413</v>
      </c>
      <c r="G361" t="s">
        <v>561</v>
      </c>
      <c r="H361" t="s">
        <v>562</v>
      </c>
      <c r="I361" t="s">
        <v>566</v>
      </c>
      <c r="J361" s="8">
        <v>48500</v>
      </c>
      <c r="K361" t="s">
        <v>571</v>
      </c>
    </row>
    <row r="362" spans="1:11" ht="17">
      <c r="A362">
        <v>361</v>
      </c>
      <c r="B362" s="5">
        <v>46377</v>
      </c>
      <c r="C362" t="s">
        <v>18</v>
      </c>
      <c r="D362" t="s">
        <v>35</v>
      </c>
      <c r="E362" t="s">
        <v>57</v>
      </c>
      <c r="F362" t="s">
        <v>414</v>
      </c>
      <c r="G362" t="s">
        <v>558</v>
      </c>
      <c r="H362" t="s">
        <v>563</v>
      </c>
      <c r="I362" t="s">
        <v>568</v>
      </c>
      <c r="J362" s="8">
        <v>137500</v>
      </c>
      <c r="K362" t="s">
        <v>572</v>
      </c>
    </row>
    <row r="363" spans="1:11" ht="17">
      <c r="A363">
        <v>362</v>
      </c>
      <c r="B363" s="5">
        <v>46378</v>
      </c>
      <c r="C363" t="s">
        <v>31</v>
      </c>
      <c r="D363" t="s">
        <v>33</v>
      </c>
      <c r="E363" t="s">
        <v>56</v>
      </c>
      <c r="F363" t="s">
        <v>415</v>
      </c>
      <c r="G363" t="s">
        <v>559</v>
      </c>
      <c r="H363" t="s">
        <v>564</v>
      </c>
      <c r="I363" t="s">
        <v>568</v>
      </c>
      <c r="J363" s="8">
        <v>518500</v>
      </c>
      <c r="K363" t="s">
        <v>572</v>
      </c>
    </row>
    <row r="364" spans="1:11" ht="17">
      <c r="A364">
        <v>363</v>
      </c>
      <c r="B364" s="5">
        <v>46379</v>
      </c>
      <c r="C364" t="s">
        <v>15</v>
      </c>
      <c r="D364" t="s">
        <v>33</v>
      </c>
      <c r="E364" t="s">
        <v>43</v>
      </c>
      <c r="F364" t="s">
        <v>416</v>
      </c>
      <c r="G364" t="s">
        <v>552</v>
      </c>
      <c r="H364" t="s">
        <v>562</v>
      </c>
      <c r="I364" t="s">
        <v>566</v>
      </c>
      <c r="J364" s="8">
        <v>131000</v>
      </c>
      <c r="K364" t="s">
        <v>571</v>
      </c>
    </row>
    <row r="365" spans="1:11" ht="17">
      <c r="A365">
        <v>364</v>
      </c>
      <c r="B365" s="5">
        <v>46381</v>
      </c>
      <c r="C365" t="s">
        <v>29</v>
      </c>
      <c r="D365" t="s">
        <v>38</v>
      </c>
      <c r="E365" t="s">
        <v>49</v>
      </c>
      <c r="F365" t="s">
        <v>417</v>
      </c>
      <c r="G365" t="s">
        <v>551</v>
      </c>
      <c r="H365" t="s">
        <v>564</v>
      </c>
      <c r="I365" t="s">
        <v>566</v>
      </c>
      <c r="J365" s="8">
        <v>489000</v>
      </c>
      <c r="K365" t="s">
        <v>570</v>
      </c>
    </row>
    <row r="366" spans="1:11" ht="17">
      <c r="A366">
        <v>365</v>
      </c>
      <c r="B366" s="5">
        <v>46383</v>
      </c>
      <c r="C366" t="s">
        <v>17</v>
      </c>
      <c r="D366" t="s">
        <v>34</v>
      </c>
      <c r="E366" t="s">
        <v>55</v>
      </c>
      <c r="F366" t="s">
        <v>418</v>
      </c>
      <c r="G366" t="s">
        <v>550</v>
      </c>
      <c r="H366" t="s">
        <v>562</v>
      </c>
      <c r="I366" t="s">
        <v>566</v>
      </c>
      <c r="J366" s="8">
        <v>40500</v>
      </c>
      <c r="K366" t="s">
        <v>572</v>
      </c>
    </row>
    <row r="367" spans="1:11" ht="17">
      <c r="A367">
        <v>366</v>
      </c>
      <c r="B367" s="5">
        <v>46385</v>
      </c>
      <c r="C367" t="s">
        <v>20</v>
      </c>
      <c r="D367" t="s">
        <v>33</v>
      </c>
      <c r="E367" t="s">
        <v>53</v>
      </c>
      <c r="F367" t="s">
        <v>419</v>
      </c>
      <c r="G367" t="s">
        <v>553</v>
      </c>
      <c r="H367" t="s">
        <v>562</v>
      </c>
      <c r="I367" t="s">
        <v>565</v>
      </c>
      <c r="J367" s="8">
        <v>215000</v>
      </c>
      <c r="K367" t="s">
        <v>572</v>
      </c>
    </row>
    <row r="368" spans="1:11" ht="17">
      <c r="A368">
        <v>367</v>
      </c>
      <c r="B368" s="5">
        <v>46386</v>
      </c>
      <c r="C368" t="s">
        <v>25</v>
      </c>
      <c r="D368" t="s">
        <v>34</v>
      </c>
      <c r="E368" t="s">
        <v>57</v>
      </c>
      <c r="F368" t="s">
        <v>420</v>
      </c>
      <c r="G368" t="s">
        <v>554</v>
      </c>
      <c r="H368" t="s">
        <v>564</v>
      </c>
      <c r="I368" t="s">
        <v>568</v>
      </c>
      <c r="J368" s="8">
        <v>151000</v>
      </c>
      <c r="K368" t="s">
        <v>572</v>
      </c>
    </row>
    <row r="369" spans="1:11" ht="17">
      <c r="A369">
        <v>368</v>
      </c>
      <c r="B369" s="5">
        <v>46389</v>
      </c>
      <c r="C369" t="s">
        <v>12</v>
      </c>
      <c r="D369" t="s">
        <v>38</v>
      </c>
      <c r="E369" t="s">
        <v>39</v>
      </c>
      <c r="F369" t="s">
        <v>421</v>
      </c>
      <c r="G369" t="s">
        <v>555</v>
      </c>
      <c r="H369" t="s">
        <v>562</v>
      </c>
      <c r="I369" t="s">
        <v>569</v>
      </c>
      <c r="J369" s="8">
        <v>16500</v>
      </c>
      <c r="K369" t="s">
        <v>571</v>
      </c>
    </row>
    <row r="370" spans="1:11" ht="17">
      <c r="A370">
        <v>369</v>
      </c>
      <c r="B370" s="5">
        <v>46391</v>
      </c>
      <c r="C370" t="s">
        <v>17</v>
      </c>
      <c r="D370" t="s">
        <v>34</v>
      </c>
      <c r="E370" t="s">
        <v>42</v>
      </c>
      <c r="F370" t="s">
        <v>422</v>
      </c>
      <c r="G370" t="s">
        <v>556</v>
      </c>
      <c r="H370" t="s">
        <v>564</v>
      </c>
      <c r="I370" t="s">
        <v>566</v>
      </c>
      <c r="J370" s="8">
        <v>10000</v>
      </c>
      <c r="K370" t="s">
        <v>572</v>
      </c>
    </row>
    <row r="371" spans="1:11" ht="17">
      <c r="A371">
        <v>370</v>
      </c>
      <c r="B371" s="5">
        <v>46394</v>
      </c>
      <c r="C371" t="s">
        <v>19</v>
      </c>
      <c r="D371" t="s">
        <v>36</v>
      </c>
      <c r="E371" t="s">
        <v>41</v>
      </c>
      <c r="F371" t="s">
        <v>423</v>
      </c>
      <c r="G371" t="s">
        <v>557</v>
      </c>
      <c r="H371" t="s">
        <v>563</v>
      </c>
      <c r="I371" t="s">
        <v>568</v>
      </c>
      <c r="J371" s="8">
        <v>245000</v>
      </c>
      <c r="K371" t="s">
        <v>572</v>
      </c>
    </row>
    <row r="372" spans="1:11" ht="17">
      <c r="A372">
        <v>371</v>
      </c>
      <c r="B372" s="5">
        <v>46395</v>
      </c>
      <c r="C372" t="s">
        <v>19</v>
      </c>
      <c r="D372" t="s">
        <v>36</v>
      </c>
      <c r="E372" t="s">
        <v>41</v>
      </c>
      <c r="F372" t="s">
        <v>424</v>
      </c>
      <c r="G372" t="s">
        <v>560</v>
      </c>
      <c r="H372" t="s">
        <v>563</v>
      </c>
      <c r="I372" t="s">
        <v>565</v>
      </c>
      <c r="J372" s="8">
        <v>321500</v>
      </c>
      <c r="K372" t="s">
        <v>572</v>
      </c>
    </row>
    <row r="373" spans="1:11" ht="17">
      <c r="A373">
        <v>372</v>
      </c>
      <c r="B373" s="5">
        <v>46397</v>
      </c>
      <c r="C373" t="s">
        <v>17</v>
      </c>
      <c r="D373" t="s">
        <v>34</v>
      </c>
      <c r="E373" t="s">
        <v>52</v>
      </c>
      <c r="F373" t="s">
        <v>425</v>
      </c>
      <c r="G373" t="s">
        <v>558</v>
      </c>
      <c r="H373" t="s">
        <v>563</v>
      </c>
      <c r="I373" t="s">
        <v>569</v>
      </c>
      <c r="J373" s="8">
        <v>161500</v>
      </c>
      <c r="K373" t="s">
        <v>571</v>
      </c>
    </row>
    <row r="374" spans="1:11" ht="17">
      <c r="A374">
        <v>373</v>
      </c>
      <c r="B374" s="5">
        <v>46400</v>
      </c>
      <c r="C374" t="s">
        <v>24</v>
      </c>
      <c r="D374" t="s">
        <v>35</v>
      </c>
      <c r="E374" t="s">
        <v>58</v>
      </c>
      <c r="F374" t="s">
        <v>426</v>
      </c>
      <c r="G374" t="s">
        <v>559</v>
      </c>
      <c r="H374" t="s">
        <v>564</v>
      </c>
      <c r="I374" t="s">
        <v>568</v>
      </c>
      <c r="J374" s="8">
        <v>360500</v>
      </c>
      <c r="K374" t="s">
        <v>572</v>
      </c>
    </row>
    <row r="375" spans="1:11" ht="17">
      <c r="A375">
        <v>374</v>
      </c>
      <c r="B375" s="5">
        <v>46402</v>
      </c>
      <c r="C375" t="s">
        <v>20</v>
      </c>
      <c r="D375" t="s">
        <v>33</v>
      </c>
      <c r="E375" t="s">
        <v>41</v>
      </c>
      <c r="F375" t="s">
        <v>427</v>
      </c>
      <c r="G375" t="s">
        <v>552</v>
      </c>
      <c r="H375" t="s">
        <v>562</v>
      </c>
      <c r="I375" t="s">
        <v>569</v>
      </c>
      <c r="J375" s="8">
        <v>284500</v>
      </c>
      <c r="K375" t="s">
        <v>572</v>
      </c>
    </row>
    <row r="376" spans="1:11" ht="17">
      <c r="A376">
        <v>375</v>
      </c>
      <c r="B376" s="5">
        <v>46404</v>
      </c>
      <c r="C376" t="s">
        <v>28</v>
      </c>
      <c r="D376" t="s">
        <v>33</v>
      </c>
      <c r="E376" t="s">
        <v>43</v>
      </c>
      <c r="F376" t="s">
        <v>428</v>
      </c>
      <c r="G376" t="s">
        <v>551</v>
      </c>
      <c r="H376" t="s">
        <v>564</v>
      </c>
      <c r="I376" t="s">
        <v>569</v>
      </c>
      <c r="J376" s="8">
        <v>232500</v>
      </c>
      <c r="K376" t="s">
        <v>572</v>
      </c>
    </row>
    <row r="377" spans="1:11" ht="17">
      <c r="A377">
        <v>376</v>
      </c>
      <c r="B377" s="5">
        <v>46406</v>
      </c>
      <c r="C377" t="s">
        <v>26</v>
      </c>
      <c r="D377" t="s">
        <v>35</v>
      </c>
      <c r="E377" t="s">
        <v>51</v>
      </c>
      <c r="F377" t="s">
        <v>429</v>
      </c>
      <c r="G377" t="s">
        <v>550</v>
      </c>
      <c r="H377" t="s">
        <v>562</v>
      </c>
      <c r="I377" t="s">
        <v>568</v>
      </c>
      <c r="J377" s="8">
        <v>235000</v>
      </c>
      <c r="K377" t="s">
        <v>573</v>
      </c>
    </row>
    <row r="378" spans="1:11" ht="17">
      <c r="A378">
        <v>377</v>
      </c>
      <c r="B378" s="5">
        <v>46408</v>
      </c>
      <c r="C378" t="s">
        <v>28</v>
      </c>
      <c r="D378" t="s">
        <v>33</v>
      </c>
      <c r="E378" t="s">
        <v>45</v>
      </c>
      <c r="F378" t="s">
        <v>430</v>
      </c>
      <c r="G378" t="s">
        <v>553</v>
      </c>
      <c r="H378" t="s">
        <v>564</v>
      </c>
      <c r="I378" t="s">
        <v>565</v>
      </c>
      <c r="J378" s="8">
        <v>430500</v>
      </c>
      <c r="K378" t="s">
        <v>570</v>
      </c>
    </row>
    <row r="379" spans="1:11" ht="17">
      <c r="A379">
        <v>378</v>
      </c>
      <c r="B379" s="5">
        <v>46410</v>
      </c>
      <c r="C379" t="s">
        <v>24</v>
      </c>
      <c r="D379" t="s">
        <v>35</v>
      </c>
      <c r="E379" t="s">
        <v>57</v>
      </c>
      <c r="F379" t="s">
        <v>431</v>
      </c>
      <c r="G379" t="s">
        <v>554</v>
      </c>
      <c r="H379" t="s">
        <v>564</v>
      </c>
      <c r="I379" t="s">
        <v>565</v>
      </c>
      <c r="J379" s="8">
        <v>81000</v>
      </c>
      <c r="K379" t="s">
        <v>570</v>
      </c>
    </row>
    <row r="380" spans="1:11" ht="17">
      <c r="A380">
        <v>379</v>
      </c>
      <c r="B380" s="5">
        <v>46412</v>
      </c>
      <c r="C380" t="s">
        <v>17</v>
      </c>
      <c r="D380" t="s">
        <v>34</v>
      </c>
      <c r="E380" t="s">
        <v>44</v>
      </c>
      <c r="F380" t="s">
        <v>432</v>
      </c>
      <c r="G380" t="s">
        <v>561</v>
      </c>
      <c r="H380" t="s">
        <v>562</v>
      </c>
      <c r="I380" t="s">
        <v>568</v>
      </c>
      <c r="J380" s="8">
        <v>46500</v>
      </c>
      <c r="K380" t="s">
        <v>570</v>
      </c>
    </row>
    <row r="381" spans="1:11" ht="17">
      <c r="A381">
        <v>380</v>
      </c>
      <c r="B381" s="5">
        <v>46414</v>
      </c>
      <c r="C381" t="s">
        <v>15</v>
      </c>
      <c r="D381" t="s">
        <v>33</v>
      </c>
      <c r="E381" t="s">
        <v>43</v>
      </c>
      <c r="F381" t="s">
        <v>433</v>
      </c>
      <c r="G381" t="s">
        <v>555</v>
      </c>
      <c r="H381" t="s">
        <v>562</v>
      </c>
      <c r="I381" t="s">
        <v>566</v>
      </c>
      <c r="J381" s="8">
        <v>356500</v>
      </c>
      <c r="K381" t="s">
        <v>571</v>
      </c>
    </row>
    <row r="382" spans="1:11" ht="17">
      <c r="A382">
        <v>381</v>
      </c>
      <c r="B382" s="5">
        <v>46416</v>
      </c>
      <c r="C382" t="s">
        <v>26</v>
      </c>
      <c r="D382" t="s">
        <v>35</v>
      </c>
      <c r="E382" t="s">
        <v>51</v>
      </c>
      <c r="F382" t="s">
        <v>434</v>
      </c>
      <c r="G382" t="s">
        <v>556</v>
      </c>
      <c r="H382" t="s">
        <v>563</v>
      </c>
      <c r="I382" t="s">
        <v>567</v>
      </c>
      <c r="J382" s="8">
        <v>405500</v>
      </c>
      <c r="K382" t="s">
        <v>572</v>
      </c>
    </row>
    <row r="383" spans="1:11" ht="17">
      <c r="A383">
        <v>382</v>
      </c>
      <c r="B383" s="5">
        <v>46417</v>
      </c>
      <c r="C383" t="s">
        <v>31</v>
      </c>
      <c r="D383" t="s">
        <v>33</v>
      </c>
      <c r="E383" t="s">
        <v>43</v>
      </c>
      <c r="F383" t="s">
        <v>435</v>
      </c>
      <c r="G383" t="s">
        <v>557</v>
      </c>
      <c r="H383" t="s">
        <v>562</v>
      </c>
      <c r="I383" t="s">
        <v>568</v>
      </c>
      <c r="J383" s="8">
        <v>796500</v>
      </c>
      <c r="K383" t="s">
        <v>572</v>
      </c>
    </row>
    <row r="384" spans="1:11" ht="17">
      <c r="A384">
        <v>383</v>
      </c>
      <c r="B384" s="5">
        <v>46419</v>
      </c>
      <c r="C384" t="s">
        <v>16</v>
      </c>
      <c r="D384" t="s">
        <v>34</v>
      </c>
      <c r="E384" t="s">
        <v>55</v>
      </c>
      <c r="F384" t="s">
        <v>436</v>
      </c>
      <c r="G384" t="s">
        <v>558</v>
      </c>
      <c r="H384" t="s">
        <v>563</v>
      </c>
      <c r="I384" t="s">
        <v>569</v>
      </c>
      <c r="J384" s="8">
        <v>414500</v>
      </c>
      <c r="K384" t="s">
        <v>572</v>
      </c>
    </row>
    <row r="385" spans="1:11" ht="17">
      <c r="A385">
        <v>384</v>
      </c>
      <c r="B385" s="5">
        <v>46421</v>
      </c>
      <c r="C385" t="s">
        <v>19</v>
      </c>
      <c r="D385" t="s">
        <v>36</v>
      </c>
      <c r="E385" t="s">
        <v>53</v>
      </c>
      <c r="F385" t="s">
        <v>437</v>
      </c>
      <c r="G385" t="s">
        <v>559</v>
      </c>
      <c r="H385" t="s">
        <v>562</v>
      </c>
      <c r="I385" t="s">
        <v>567</v>
      </c>
      <c r="J385" s="8">
        <v>99000</v>
      </c>
      <c r="K385" t="s">
        <v>572</v>
      </c>
    </row>
    <row r="386" spans="1:11" ht="17">
      <c r="A386">
        <v>385</v>
      </c>
      <c r="B386" s="5">
        <v>46422</v>
      </c>
      <c r="C386" t="s">
        <v>22</v>
      </c>
      <c r="D386" t="s">
        <v>37</v>
      </c>
      <c r="E386" t="s">
        <v>48</v>
      </c>
      <c r="F386" t="s">
        <v>438</v>
      </c>
      <c r="G386" t="s">
        <v>560</v>
      </c>
      <c r="H386" t="s">
        <v>562</v>
      </c>
      <c r="I386" t="s">
        <v>568</v>
      </c>
      <c r="J386" s="8">
        <v>43000</v>
      </c>
      <c r="K386" t="s">
        <v>570</v>
      </c>
    </row>
    <row r="387" spans="1:11" ht="17">
      <c r="A387">
        <v>386</v>
      </c>
      <c r="B387" s="5">
        <v>46425</v>
      </c>
      <c r="C387" t="s">
        <v>24</v>
      </c>
      <c r="D387" t="s">
        <v>35</v>
      </c>
      <c r="E387" t="s">
        <v>58</v>
      </c>
      <c r="F387" t="s">
        <v>439</v>
      </c>
      <c r="G387" t="s">
        <v>552</v>
      </c>
      <c r="H387" t="s">
        <v>563</v>
      </c>
      <c r="I387" t="s">
        <v>567</v>
      </c>
      <c r="J387" s="8">
        <v>751500</v>
      </c>
      <c r="K387" t="s">
        <v>572</v>
      </c>
    </row>
    <row r="388" spans="1:11" ht="17">
      <c r="A388">
        <v>387</v>
      </c>
      <c r="B388" s="5">
        <v>46427</v>
      </c>
      <c r="C388" t="s">
        <v>19</v>
      </c>
      <c r="D388" t="s">
        <v>36</v>
      </c>
      <c r="E388" t="s">
        <v>47</v>
      </c>
      <c r="F388" t="s">
        <v>440</v>
      </c>
      <c r="G388" t="s">
        <v>551</v>
      </c>
      <c r="H388" t="s">
        <v>563</v>
      </c>
      <c r="I388" t="s">
        <v>568</v>
      </c>
      <c r="J388" s="8">
        <v>64000</v>
      </c>
      <c r="K388" t="s">
        <v>573</v>
      </c>
    </row>
    <row r="389" spans="1:11" ht="17">
      <c r="A389">
        <v>388</v>
      </c>
      <c r="B389" s="5">
        <v>46429</v>
      </c>
      <c r="C389" t="s">
        <v>18</v>
      </c>
      <c r="D389" t="s">
        <v>35</v>
      </c>
      <c r="E389" t="s">
        <v>57</v>
      </c>
      <c r="F389" t="s">
        <v>441</v>
      </c>
      <c r="G389" t="s">
        <v>550</v>
      </c>
      <c r="H389" t="s">
        <v>562</v>
      </c>
      <c r="I389" t="s">
        <v>566</v>
      </c>
      <c r="J389" s="8">
        <v>80000</v>
      </c>
      <c r="K389" t="s">
        <v>572</v>
      </c>
    </row>
    <row r="390" spans="1:11" ht="17">
      <c r="A390">
        <v>389</v>
      </c>
      <c r="B390" s="5">
        <v>46431</v>
      </c>
      <c r="C390" t="s">
        <v>16</v>
      </c>
      <c r="D390" t="s">
        <v>34</v>
      </c>
      <c r="E390" t="s">
        <v>42</v>
      </c>
      <c r="F390" t="s">
        <v>442</v>
      </c>
      <c r="G390" t="s">
        <v>553</v>
      </c>
      <c r="H390" t="s">
        <v>563</v>
      </c>
      <c r="I390" t="s">
        <v>568</v>
      </c>
      <c r="J390" s="8">
        <v>46000</v>
      </c>
      <c r="K390" t="s">
        <v>572</v>
      </c>
    </row>
    <row r="391" spans="1:11" ht="17">
      <c r="A391">
        <v>390</v>
      </c>
      <c r="B391" s="5">
        <v>46433</v>
      </c>
      <c r="C391" t="s">
        <v>12</v>
      </c>
      <c r="D391" t="s">
        <v>38</v>
      </c>
      <c r="E391" t="s">
        <v>49</v>
      </c>
      <c r="F391" t="s">
        <v>443</v>
      </c>
      <c r="G391" t="s">
        <v>554</v>
      </c>
      <c r="H391" t="s">
        <v>564</v>
      </c>
      <c r="I391" t="s">
        <v>567</v>
      </c>
      <c r="J391" s="8">
        <v>438500</v>
      </c>
      <c r="K391" t="s">
        <v>570</v>
      </c>
    </row>
    <row r="392" spans="1:11" ht="17">
      <c r="A392">
        <v>391</v>
      </c>
      <c r="B392" s="5">
        <v>46436</v>
      </c>
      <c r="C392" t="s">
        <v>27</v>
      </c>
      <c r="D392" t="s">
        <v>38</v>
      </c>
      <c r="E392" t="s">
        <v>39</v>
      </c>
      <c r="F392" t="s">
        <v>444</v>
      </c>
      <c r="G392" t="s">
        <v>555</v>
      </c>
      <c r="H392" t="s">
        <v>562</v>
      </c>
      <c r="I392" t="s">
        <v>568</v>
      </c>
      <c r="J392" s="8">
        <v>71500</v>
      </c>
      <c r="K392" t="s">
        <v>571</v>
      </c>
    </row>
    <row r="393" spans="1:11" ht="17">
      <c r="A393">
        <v>392</v>
      </c>
      <c r="B393" s="5">
        <v>46437</v>
      </c>
      <c r="C393" t="s">
        <v>20</v>
      </c>
      <c r="D393" t="s">
        <v>33</v>
      </c>
      <c r="E393" t="s">
        <v>43</v>
      </c>
      <c r="F393" t="s">
        <v>445</v>
      </c>
      <c r="G393" t="s">
        <v>556</v>
      </c>
      <c r="H393" t="s">
        <v>562</v>
      </c>
      <c r="I393" t="s">
        <v>568</v>
      </c>
      <c r="J393" s="8">
        <v>86500</v>
      </c>
      <c r="K393" t="s">
        <v>570</v>
      </c>
    </row>
    <row r="394" spans="1:11" ht="17">
      <c r="A394">
        <v>393</v>
      </c>
      <c r="B394" s="5">
        <v>46439</v>
      </c>
      <c r="C394" t="s">
        <v>27</v>
      </c>
      <c r="D394" t="s">
        <v>38</v>
      </c>
      <c r="E394" t="s">
        <v>49</v>
      </c>
      <c r="F394" t="s">
        <v>446</v>
      </c>
      <c r="G394" t="s">
        <v>557</v>
      </c>
      <c r="H394" t="s">
        <v>564</v>
      </c>
      <c r="I394" t="s">
        <v>568</v>
      </c>
      <c r="J394" s="8">
        <v>82500</v>
      </c>
      <c r="K394" t="s">
        <v>572</v>
      </c>
    </row>
    <row r="395" spans="1:11" ht="17">
      <c r="A395">
        <v>394</v>
      </c>
      <c r="B395" s="5">
        <v>46442</v>
      </c>
      <c r="C395" t="s">
        <v>12</v>
      </c>
      <c r="D395" t="s">
        <v>38</v>
      </c>
      <c r="E395" t="s">
        <v>54</v>
      </c>
      <c r="F395" t="s">
        <v>447</v>
      </c>
      <c r="G395" t="s">
        <v>561</v>
      </c>
      <c r="H395" t="s">
        <v>562</v>
      </c>
      <c r="I395" t="s">
        <v>569</v>
      </c>
      <c r="J395" s="8">
        <v>126500</v>
      </c>
      <c r="K395" t="s">
        <v>573</v>
      </c>
    </row>
    <row r="396" spans="1:11" ht="17">
      <c r="A396">
        <v>395</v>
      </c>
      <c r="B396" s="5">
        <v>46444</v>
      </c>
      <c r="C396" t="s">
        <v>32</v>
      </c>
      <c r="D396" t="s">
        <v>35</v>
      </c>
      <c r="E396" t="s">
        <v>51</v>
      </c>
      <c r="F396" t="s">
        <v>448</v>
      </c>
      <c r="G396" t="s">
        <v>558</v>
      </c>
      <c r="H396" t="s">
        <v>563</v>
      </c>
      <c r="I396" t="s">
        <v>568</v>
      </c>
      <c r="J396" s="8">
        <v>76500</v>
      </c>
      <c r="K396" t="s">
        <v>572</v>
      </c>
    </row>
    <row r="397" spans="1:11" ht="17">
      <c r="A397">
        <v>396</v>
      </c>
      <c r="B397" s="5">
        <v>46446</v>
      </c>
      <c r="C397" t="s">
        <v>12</v>
      </c>
      <c r="D397" t="s">
        <v>38</v>
      </c>
      <c r="E397" t="s">
        <v>58</v>
      </c>
      <c r="F397" t="s">
        <v>449</v>
      </c>
      <c r="G397" t="s">
        <v>559</v>
      </c>
      <c r="H397" t="s">
        <v>563</v>
      </c>
      <c r="I397" t="s">
        <v>568</v>
      </c>
      <c r="J397" s="8">
        <v>207500</v>
      </c>
      <c r="K397" t="s">
        <v>572</v>
      </c>
    </row>
    <row r="398" spans="1:11" ht="17">
      <c r="A398">
        <v>397</v>
      </c>
      <c r="B398" s="5">
        <v>46448</v>
      </c>
      <c r="C398" t="s">
        <v>27</v>
      </c>
      <c r="D398" t="s">
        <v>38</v>
      </c>
      <c r="E398" t="s">
        <v>39</v>
      </c>
      <c r="F398" t="s">
        <v>450</v>
      </c>
      <c r="G398" t="s">
        <v>552</v>
      </c>
      <c r="H398" t="s">
        <v>562</v>
      </c>
      <c r="I398" t="s">
        <v>569</v>
      </c>
      <c r="J398" s="8">
        <v>214500</v>
      </c>
      <c r="K398" t="s">
        <v>570</v>
      </c>
    </row>
    <row r="399" spans="1:11" ht="17">
      <c r="A399">
        <v>398</v>
      </c>
      <c r="B399" s="5">
        <v>46450</v>
      </c>
      <c r="C399" t="s">
        <v>31</v>
      </c>
      <c r="D399" t="s">
        <v>33</v>
      </c>
      <c r="E399" t="s">
        <v>41</v>
      </c>
      <c r="F399" t="s">
        <v>451</v>
      </c>
      <c r="G399" t="s">
        <v>551</v>
      </c>
      <c r="H399" t="s">
        <v>563</v>
      </c>
      <c r="I399" t="s">
        <v>569</v>
      </c>
      <c r="J399" s="8">
        <v>619500</v>
      </c>
      <c r="K399" t="s">
        <v>570</v>
      </c>
    </row>
    <row r="400" spans="1:11" ht="17">
      <c r="A400">
        <v>399</v>
      </c>
      <c r="B400" s="5">
        <v>46453</v>
      </c>
      <c r="C400" t="s">
        <v>22</v>
      </c>
      <c r="D400" t="s">
        <v>37</v>
      </c>
      <c r="E400" t="s">
        <v>49</v>
      </c>
      <c r="F400" t="s">
        <v>452</v>
      </c>
      <c r="G400" t="s">
        <v>550</v>
      </c>
      <c r="H400" t="s">
        <v>562</v>
      </c>
      <c r="I400" t="s">
        <v>566</v>
      </c>
      <c r="J400" s="8">
        <v>572500</v>
      </c>
      <c r="K400" t="s">
        <v>572</v>
      </c>
    </row>
    <row r="401" spans="1:11" ht="17">
      <c r="A401">
        <v>400</v>
      </c>
      <c r="B401" s="5">
        <v>46454</v>
      </c>
      <c r="C401" t="s">
        <v>19</v>
      </c>
      <c r="D401" t="s">
        <v>36</v>
      </c>
      <c r="E401" t="s">
        <v>56</v>
      </c>
      <c r="F401" t="s">
        <v>83</v>
      </c>
      <c r="G401" t="s">
        <v>553</v>
      </c>
      <c r="H401" t="s">
        <v>564</v>
      </c>
      <c r="I401" t="s">
        <v>565</v>
      </c>
      <c r="J401" s="8">
        <v>237000</v>
      </c>
      <c r="K401" t="s">
        <v>572</v>
      </c>
    </row>
    <row r="402" spans="1:11" ht="17">
      <c r="A402">
        <v>401</v>
      </c>
      <c r="B402" s="5">
        <v>46456</v>
      </c>
      <c r="C402" t="s">
        <v>19</v>
      </c>
      <c r="D402" t="s">
        <v>36</v>
      </c>
      <c r="E402" t="s">
        <v>47</v>
      </c>
      <c r="F402" t="s">
        <v>453</v>
      </c>
      <c r="G402" t="s">
        <v>554</v>
      </c>
      <c r="H402" t="s">
        <v>564</v>
      </c>
      <c r="I402" t="s">
        <v>565</v>
      </c>
      <c r="J402" s="8">
        <v>42000</v>
      </c>
      <c r="K402" t="s">
        <v>572</v>
      </c>
    </row>
    <row r="403" spans="1:11" ht="17">
      <c r="A403">
        <v>402</v>
      </c>
      <c r="B403" s="5">
        <v>46458</v>
      </c>
      <c r="C403" t="s">
        <v>12</v>
      </c>
      <c r="D403" t="s">
        <v>38</v>
      </c>
      <c r="E403" t="s">
        <v>39</v>
      </c>
      <c r="F403" t="s">
        <v>454</v>
      </c>
      <c r="G403" t="s">
        <v>555</v>
      </c>
      <c r="H403" t="s">
        <v>562</v>
      </c>
      <c r="I403" t="s">
        <v>569</v>
      </c>
      <c r="J403" s="8">
        <v>162500</v>
      </c>
      <c r="K403" t="s">
        <v>573</v>
      </c>
    </row>
    <row r="404" spans="1:11" ht="17">
      <c r="A404">
        <v>403</v>
      </c>
      <c r="B404" s="5">
        <v>46459</v>
      </c>
      <c r="C404" t="s">
        <v>18</v>
      </c>
      <c r="D404" t="s">
        <v>35</v>
      </c>
      <c r="E404" t="s">
        <v>50</v>
      </c>
      <c r="F404" t="s">
        <v>455</v>
      </c>
      <c r="G404" t="s">
        <v>556</v>
      </c>
      <c r="H404" t="s">
        <v>562</v>
      </c>
      <c r="I404" t="s">
        <v>569</v>
      </c>
      <c r="J404" s="8">
        <v>140000</v>
      </c>
      <c r="K404" t="s">
        <v>573</v>
      </c>
    </row>
    <row r="405" spans="1:11" ht="17">
      <c r="A405">
        <v>404</v>
      </c>
      <c r="B405" s="5">
        <v>46462</v>
      </c>
      <c r="C405" t="s">
        <v>14</v>
      </c>
      <c r="D405" t="s">
        <v>38</v>
      </c>
      <c r="E405" t="s">
        <v>42</v>
      </c>
      <c r="F405" t="s">
        <v>456</v>
      </c>
      <c r="G405" t="s">
        <v>557</v>
      </c>
      <c r="H405" t="s">
        <v>563</v>
      </c>
      <c r="I405" t="s">
        <v>568</v>
      </c>
      <c r="J405" s="8">
        <v>16000</v>
      </c>
      <c r="K405" t="s">
        <v>572</v>
      </c>
    </row>
    <row r="406" spans="1:11" ht="17">
      <c r="A406">
        <v>405</v>
      </c>
      <c r="B406" s="5">
        <v>46464</v>
      </c>
      <c r="C406" t="s">
        <v>26</v>
      </c>
      <c r="D406" t="s">
        <v>35</v>
      </c>
      <c r="E406" t="s">
        <v>50</v>
      </c>
      <c r="F406" t="s">
        <v>457</v>
      </c>
      <c r="G406" t="s">
        <v>560</v>
      </c>
      <c r="H406" t="s">
        <v>563</v>
      </c>
      <c r="I406" t="s">
        <v>566</v>
      </c>
      <c r="J406" s="8">
        <v>242000</v>
      </c>
      <c r="K406" t="s">
        <v>572</v>
      </c>
    </row>
    <row r="407" spans="1:11" ht="17">
      <c r="A407">
        <v>406</v>
      </c>
      <c r="B407" s="5">
        <v>46467</v>
      </c>
      <c r="C407" t="s">
        <v>22</v>
      </c>
      <c r="D407" t="s">
        <v>37</v>
      </c>
      <c r="E407" t="s">
        <v>39</v>
      </c>
      <c r="F407" t="s">
        <v>458</v>
      </c>
      <c r="G407" t="s">
        <v>558</v>
      </c>
      <c r="H407" t="s">
        <v>563</v>
      </c>
      <c r="I407" t="s">
        <v>565</v>
      </c>
      <c r="J407" s="8">
        <v>21500</v>
      </c>
      <c r="K407" t="s">
        <v>572</v>
      </c>
    </row>
    <row r="408" spans="1:11" ht="17">
      <c r="A408">
        <v>407</v>
      </c>
      <c r="B408" s="5">
        <v>46468</v>
      </c>
      <c r="C408" t="s">
        <v>12</v>
      </c>
      <c r="D408" t="s">
        <v>38</v>
      </c>
      <c r="E408" t="s">
        <v>39</v>
      </c>
      <c r="F408" t="s">
        <v>459</v>
      </c>
      <c r="G408" t="s">
        <v>559</v>
      </c>
      <c r="H408" t="s">
        <v>564</v>
      </c>
      <c r="I408" t="s">
        <v>567</v>
      </c>
      <c r="J408" s="8">
        <v>11000</v>
      </c>
      <c r="K408" t="s">
        <v>572</v>
      </c>
    </row>
    <row r="409" spans="1:11" ht="17">
      <c r="A409">
        <v>408</v>
      </c>
      <c r="B409" s="5">
        <v>46470</v>
      </c>
      <c r="C409" t="s">
        <v>31</v>
      </c>
      <c r="D409" t="s">
        <v>33</v>
      </c>
      <c r="E409" t="s">
        <v>53</v>
      </c>
      <c r="F409" t="s">
        <v>460</v>
      </c>
      <c r="G409" t="s">
        <v>552</v>
      </c>
      <c r="H409" t="s">
        <v>564</v>
      </c>
      <c r="I409" t="s">
        <v>568</v>
      </c>
      <c r="J409" s="8">
        <v>41000</v>
      </c>
      <c r="K409" t="s">
        <v>570</v>
      </c>
    </row>
    <row r="410" spans="1:11" ht="17">
      <c r="A410">
        <v>409</v>
      </c>
      <c r="B410" s="5">
        <v>46473</v>
      </c>
      <c r="C410" t="s">
        <v>16</v>
      </c>
      <c r="D410" t="s">
        <v>34</v>
      </c>
      <c r="E410" t="s">
        <v>55</v>
      </c>
      <c r="F410" t="s">
        <v>461</v>
      </c>
      <c r="G410" t="s">
        <v>551</v>
      </c>
      <c r="H410" t="s">
        <v>563</v>
      </c>
      <c r="I410" t="s">
        <v>565</v>
      </c>
      <c r="J410" s="8">
        <v>138000</v>
      </c>
      <c r="K410" t="s">
        <v>572</v>
      </c>
    </row>
    <row r="411" spans="1:11" ht="17">
      <c r="A411">
        <v>410</v>
      </c>
      <c r="B411" s="5">
        <v>46475</v>
      </c>
      <c r="C411" t="s">
        <v>30</v>
      </c>
      <c r="D411" t="s">
        <v>33</v>
      </c>
      <c r="E411" t="s">
        <v>45</v>
      </c>
      <c r="F411" t="s">
        <v>462</v>
      </c>
      <c r="G411" t="s">
        <v>550</v>
      </c>
      <c r="H411" t="s">
        <v>562</v>
      </c>
      <c r="I411" t="s">
        <v>565</v>
      </c>
      <c r="J411" s="8">
        <v>233500</v>
      </c>
      <c r="K411" t="s">
        <v>572</v>
      </c>
    </row>
    <row r="412" spans="1:11" ht="17">
      <c r="A412">
        <v>411</v>
      </c>
      <c r="B412" s="5">
        <v>46477</v>
      </c>
      <c r="C412" t="s">
        <v>27</v>
      </c>
      <c r="D412" t="s">
        <v>38</v>
      </c>
      <c r="E412" t="s">
        <v>49</v>
      </c>
      <c r="F412" t="s">
        <v>463</v>
      </c>
      <c r="G412" t="s">
        <v>553</v>
      </c>
      <c r="H412" t="s">
        <v>562</v>
      </c>
      <c r="I412" t="s">
        <v>565</v>
      </c>
      <c r="J412" s="8">
        <v>21500</v>
      </c>
      <c r="K412" t="s">
        <v>571</v>
      </c>
    </row>
    <row r="413" spans="1:11" ht="17">
      <c r="A413">
        <v>412</v>
      </c>
      <c r="B413" s="5">
        <v>46479</v>
      </c>
      <c r="C413" t="s">
        <v>16</v>
      </c>
      <c r="D413" t="s">
        <v>34</v>
      </c>
      <c r="E413" t="s">
        <v>44</v>
      </c>
      <c r="F413" t="s">
        <v>464</v>
      </c>
      <c r="G413" t="s">
        <v>554</v>
      </c>
      <c r="H413" t="s">
        <v>563</v>
      </c>
      <c r="I413" t="s">
        <v>569</v>
      </c>
      <c r="J413" s="8">
        <v>6500</v>
      </c>
      <c r="K413" t="s">
        <v>572</v>
      </c>
    </row>
    <row r="414" spans="1:11" ht="17">
      <c r="A414">
        <v>413</v>
      </c>
      <c r="B414" s="5">
        <v>46482</v>
      </c>
      <c r="C414" t="s">
        <v>26</v>
      </c>
      <c r="D414" t="s">
        <v>35</v>
      </c>
      <c r="E414" t="s">
        <v>57</v>
      </c>
      <c r="F414" t="s">
        <v>465</v>
      </c>
      <c r="G414" t="s">
        <v>561</v>
      </c>
      <c r="H414" t="s">
        <v>562</v>
      </c>
      <c r="I414" t="s">
        <v>568</v>
      </c>
      <c r="J414" s="8">
        <v>642000</v>
      </c>
      <c r="K414" t="s">
        <v>570</v>
      </c>
    </row>
    <row r="415" spans="1:11" ht="17">
      <c r="A415">
        <v>414</v>
      </c>
      <c r="B415" s="5">
        <v>46485</v>
      </c>
      <c r="C415" t="s">
        <v>30</v>
      </c>
      <c r="D415" t="s">
        <v>33</v>
      </c>
      <c r="E415" t="s">
        <v>43</v>
      </c>
      <c r="F415" t="s">
        <v>466</v>
      </c>
      <c r="G415" t="s">
        <v>555</v>
      </c>
      <c r="H415" t="s">
        <v>562</v>
      </c>
      <c r="I415" t="s">
        <v>565</v>
      </c>
      <c r="J415" s="8">
        <v>73000</v>
      </c>
      <c r="K415" t="s">
        <v>573</v>
      </c>
    </row>
    <row r="416" spans="1:11" ht="17">
      <c r="A416">
        <v>415</v>
      </c>
      <c r="B416" s="5">
        <v>46488</v>
      </c>
      <c r="C416" t="s">
        <v>15</v>
      </c>
      <c r="D416" t="s">
        <v>33</v>
      </c>
      <c r="E416" t="s">
        <v>56</v>
      </c>
      <c r="F416" t="s">
        <v>467</v>
      </c>
      <c r="G416" t="s">
        <v>556</v>
      </c>
      <c r="H416" t="s">
        <v>563</v>
      </c>
      <c r="I416" t="s">
        <v>567</v>
      </c>
      <c r="J416" s="8">
        <v>124500</v>
      </c>
      <c r="K416" t="s">
        <v>571</v>
      </c>
    </row>
    <row r="417" spans="1:11" ht="17">
      <c r="A417">
        <v>416</v>
      </c>
      <c r="B417" s="5">
        <v>46491</v>
      </c>
      <c r="C417" t="s">
        <v>19</v>
      </c>
      <c r="D417" t="s">
        <v>36</v>
      </c>
      <c r="E417" t="s">
        <v>47</v>
      </c>
      <c r="F417" t="s">
        <v>468</v>
      </c>
      <c r="G417" t="s">
        <v>557</v>
      </c>
      <c r="H417" t="s">
        <v>564</v>
      </c>
      <c r="I417" t="s">
        <v>565</v>
      </c>
      <c r="J417" s="8">
        <v>27500</v>
      </c>
      <c r="K417" t="s">
        <v>573</v>
      </c>
    </row>
    <row r="418" spans="1:11" ht="17">
      <c r="A418">
        <v>417</v>
      </c>
      <c r="B418" s="5">
        <v>46493</v>
      </c>
      <c r="C418" t="s">
        <v>18</v>
      </c>
      <c r="D418" t="s">
        <v>35</v>
      </c>
      <c r="E418" t="s">
        <v>51</v>
      </c>
      <c r="F418" t="s">
        <v>469</v>
      </c>
      <c r="G418" t="s">
        <v>558</v>
      </c>
      <c r="H418" t="s">
        <v>562</v>
      </c>
      <c r="I418" t="s">
        <v>565</v>
      </c>
      <c r="J418" s="8">
        <v>102500</v>
      </c>
      <c r="K418" t="s">
        <v>572</v>
      </c>
    </row>
    <row r="419" spans="1:11" ht="17">
      <c r="A419">
        <v>418</v>
      </c>
      <c r="B419" s="5">
        <v>46496</v>
      </c>
      <c r="C419" t="s">
        <v>15</v>
      </c>
      <c r="D419" t="s">
        <v>33</v>
      </c>
      <c r="E419" t="s">
        <v>53</v>
      </c>
      <c r="F419" t="s">
        <v>470</v>
      </c>
      <c r="G419" t="s">
        <v>559</v>
      </c>
      <c r="H419" t="s">
        <v>564</v>
      </c>
      <c r="I419" t="s">
        <v>569</v>
      </c>
      <c r="J419" s="8">
        <v>33500</v>
      </c>
      <c r="K419" t="s">
        <v>570</v>
      </c>
    </row>
    <row r="420" spans="1:11" ht="17">
      <c r="A420">
        <v>419</v>
      </c>
      <c r="B420" s="5">
        <v>46497</v>
      </c>
      <c r="C420" t="s">
        <v>22</v>
      </c>
      <c r="D420" t="s">
        <v>37</v>
      </c>
      <c r="E420" t="s">
        <v>55</v>
      </c>
      <c r="F420" t="s">
        <v>471</v>
      </c>
      <c r="G420" t="s">
        <v>560</v>
      </c>
      <c r="H420" t="s">
        <v>563</v>
      </c>
      <c r="I420" t="s">
        <v>569</v>
      </c>
      <c r="J420" s="8">
        <v>10000</v>
      </c>
      <c r="K420" t="s">
        <v>573</v>
      </c>
    </row>
    <row r="421" spans="1:11" ht="17">
      <c r="A421">
        <v>420</v>
      </c>
      <c r="B421" s="5">
        <v>46499</v>
      </c>
      <c r="C421" t="s">
        <v>23</v>
      </c>
      <c r="D421" t="s">
        <v>35</v>
      </c>
      <c r="E421" t="s">
        <v>58</v>
      </c>
      <c r="F421" t="s">
        <v>472</v>
      </c>
      <c r="G421" t="s">
        <v>552</v>
      </c>
      <c r="H421" t="s">
        <v>563</v>
      </c>
      <c r="I421" t="s">
        <v>568</v>
      </c>
      <c r="J421" s="8">
        <v>25500</v>
      </c>
      <c r="K421" t="s">
        <v>570</v>
      </c>
    </row>
    <row r="422" spans="1:11" ht="17">
      <c r="A422">
        <v>421</v>
      </c>
      <c r="B422" s="5">
        <v>46501</v>
      </c>
      <c r="C422" t="s">
        <v>18</v>
      </c>
      <c r="D422" t="s">
        <v>35</v>
      </c>
      <c r="E422" t="s">
        <v>50</v>
      </c>
      <c r="F422" t="s">
        <v>473</v>
      </c>
      <c r="G422" t="s">
        <v>551</v>
      </c>
      <c r="H422" t="s">
        <v>564</v>
      </c>
      <c r="I422" t="s">
        <v>566</v>
      </c>
      <c r="J422" s="8">
        <v>99000</v>
      </c>
      <c r="K422" t="s">
        <v>571</v>
      </c>
    </row>
    <row r="423" spans="1:11" ht="17">
      <c r="A423">
        <v>422</v>
      </c>
      <c r="B423" s="5">
        <v>46502</v>
      </c>
      <c r="C423" t="s">
        <v>26</v>
      </c>
      <c r="D423" t="s">
        <v>35</v>
      </c>
      <c r="E423" t="s">
        <v>58</v>
      </c>
      <c r="F423" t="s">
        <v>474</v>
      </c>
      <c r="G423" t="s">
        <v>550</v>
      </c>
      <c r="H423" t="s">
        <v>564</v>
      </c>
      <c r="I423" t="s">
        <v>568</v>
      </c>
      <c r="J423" s="8">
        <v>169500</v>
      </c>
      <c r="K423" t="s">
        <v>572</v>
      </c>
    </row>
    <row r="424" spans="1:11" ht="17">
      <c r="A424">
        <v>423</v>
      </c>
      <c r="B424" s="5">
        <v>46504</v>
      </c>
      <c r="C424" t="s">
        <v>27</v>
      </c>
      <c r="D424" t="s">
        <v>38</v>
      </c>
      <c r="E424" t="s">
        <v>42</v>
      </c>
      <c r="F424" t="s">
        <v>475</v>
      </c>
      <c r="G424" t="s">
        <v>553</v>
      </c>
      <c r="H424" t="s">
        <v>564</v>
      </c>
      <c r="I424" t="s">
        <v>568</v>
      </c>
      <c r="J424" s="8">
        <v>22500</v>
      </c>
      <c r="K424" t="s">
        <v>571</v>
      </c>
    </row>
    <row r="425" spans="1:11" ht="17">
      <c r="A425">
        <v>424</v>
      </c>
      <c r="B425" s="5">
        <v>46506</v>
      </c>
      <c r="C425" t="s">
        <v>15</v>
      </c>
      <c r="D425" t="s">
        <v>33</v>
      </c>
      <c r="E425" t="s">
        <v>45</v>
      </c>
      <c r="F425" t="s">
        <v>476</v>
      </c>
      <c r="G425" t="s">
        <v>554</v>
      </c>
      <c r="H425" t="s">
        <v>564</v>
      </c>
      <c r="I425" t="s">
        <v>565</v>
      </c>
      <c r="J425" s="8">
        <v>496500</v>
      </c>
      <c r="K425" t="s">
        <v>572</v>
      </c>
    </row>
    <row r="426" spans="1:11" ht="17">
      <c r="A426">
        <v>425</v>
      </c>
      <c r="B426" s="5">
        <v>46509</v>
      </c>
      <c r="C426" t="s">
        <v>23</v>
      </c>
      <c r="D426" t="s">
        <v>35</v>
      </c>
      <c r="E426" t="s">
        <v>58</v>
      </c>
      <c r="F426" t="s">
        <v>477</v>
      </c>
      <c r="G426" t="s">
        <v>555</v>
      </c>
      <c r="H426" t="s">
        <v>562</v>
      </c>
      <c r="I426" t="s">
        <v>568</v>
      </c>
      <c r="J426" s="8">
        <v>447000</v>
      </c>
      <c r="K426" t="s">
        <v>572</v>
      </c>
    </row>
    <row r="427" spans="1:11" ht="17">
      <c r="A427">
        <v>426</v>
      </c>
      <c r="B427" s="5">
        <v>46510</v>
      </c>
      <c r="C427" t="s">
        <v>31</v>
      </c>
      <c r="D427" t="s">
        <v>33</v>
      </c>
      <c r="E427" t="s">
        <v>53</v>
      </c>
      <c r="F427" t="s">
        <v>478</v>
      </c>
      <c r="G427" t="s">
        <v>556</v>
      </c>
      <c r="H427" t="s">
        <v>562</v>
      </c>
      <c r="I427" t="s">
        <v>569</v>
      </c>
      <c r="J427" s="8">
        <v>89000</v>
      </c>
      <c r="K427" t="s">
        <v>572</v>
      </c>
    </row>
    <row r="428" spans="1:11" ht="17">
      <c r="A428">
        <v>427</v>
      </c>
      <c r="B428" s="5">
        <v>46512</v>
      </c>
      <c r="C428" t="s">
        <v>30</v>
      </c>
      <c r="D428" t="s">
        <v>33</v>
      </c>
      <c r="E428" t="s">
        <v>41</v>
      </c>
      <c r="F428" t="s">
        <v>479</v>
      </c>
      <c r="G428" t="s">
        <v>557</v>
      </c>
      <c r="H428" t="s">
        <v>564</v>
      </c>
      <c r="I428" t="s">
        <v>567</v>
      </c>
      <c r="J428" s="8">
        <v>228000</v>
      </c>
      <c r="K428" t="s">
        <v>570</v>
      </c>
    </row>
    <row r="429" spans="1:11" ht="17">
      <c r="A429">
        <v>428</v>
      </c>
      <c r="B429" s="5">
        <v>46514</v>
      </c>
      <c r="C429" t="s">
        <v>19</v>
      </c>
      <c r="D429" t="s">
        <v>36</v>
      </c>
      <c r="E429" t="s">
        <v>41</v>
      </c>
      <c r="F429" t="s">
        <v>480</v>
      </c>
      <c r="G429" t="s">
        <v>561</v>
      </c>
      <c r="H429" t="s">
        <v>563</v>
      </c>
      <c r="I429" t="s">
        <v>568</v>
      </c>
      <c r="J429" s="8">
        <v>160000</v>
      </c>
      <c r="K429" t="s">
        <v>572</v>
      </c>
    </row>
    <row r="430" spans="1:11" ht="17">
      <c r="A430">
        <v>429</v>
      </c>
      <c r="B430" s="5">
        <v>46515</v>
      </c>
      <c r="C430" t="s">
        <v>28</v>
      </c>
      <c r="D430" t="s">
        <v>33</v>
      </c>
      <c r="E430" t="s">
        <v>43</v>
      </c>
      <c r="F430" t="s">
        <v>481</v>
      </c>
      <c r="G430" t="s">
        <v>558</v>
      </c>
      <c r="H430" t="s">
        <v>562</v>
      </c>
      <c r="I430" t="s">
        <v>568</v>
      </c>
      <c r="J430" s="8">
        <v>8500</v>
      </c>
      <c r="K430" t="s">
        <v>572</v>
      </c>
    </row>
    <row r="431" spans="1:11" ht="17">
      <c r="A431">
        <v>430</v>
      </c>
      <c r="B431" s="5">
        <v>46517</v>
      </c>
      <c r="C431" t="s">
        <v>24</v>
      </c>
      <c r="D431" t="s">
        <v>35</v>
      </c>
      <c r="E431" t="s">
        <v>50</v>
      </c>
      <c r="F431" t="s">
        <v>482</v>
      </c>
      <c r="G431" t="s">
        <v>559</v>
      </c>
      <c r="H431" t="s">
        <v>563</v>
      </c>
      <c r="I431" t="s">
        <v>565</v>
      </c>
      <c r="J431" s="8">
        <v>79500</v>
      </c>
      <c r="K431" t="s">
        <v>571</v>
      </c>
    </row>
    <row r="432" spans="1:11" ht="17">
      <c r="A432">
        <v>431</v>
      </c>
      <c r="B432" s="5">
        <v>46518</v>
      </c>
      <c r="C432" t="s">
        <v>19</v>
      </c>
      <c r="D432" t="s">
        <v>36</v>
      </c>
      <c r="E432" t="s">
        <v>56</v>
      </c>
      <c r="F432" t="s">
        <v>483</v>
      </c>
      <c r="G432" t="s">
        <v>552</v>
      </c>
      <c r="H432" t="s">
        <v>564</v>
      </c>
      <c r="I432" t="s">
        <v>568</v>
      </c>
      <c r="J432" s="8">
        <v>53500</v>
      </c>
      <c r="K432" t="s">
        <v>570</v>
      </c>
    </row>
    <row r="433" spans="1:11" ht="17">
      <c r="A433">
        <v>432</v>
      </c>
      <c r="B433" s="5">
        <v>46519</v>
      </c>
      <c r="C433" t="s">
        <v>18</v>
      </c>
      <c r="D433" t="s">
        <v>35</v>
      </c>
      <c r="E433" t="s">
        <v>57</v>
      </c>
      <c r="F433" t="s">
        <v>484</v>
      </c>
      <c r="G433" t="s">
        <v>551</v>
      </c>
      <c r="H433" t="s">
        <v>564</v>
      </c>
      <c r="I433" t="s">
        <v>568</v>
      </c>
      <c r="J433" s="8">
        <v>34000</v>
      </c>
      <c r="K433" t="s">
        <v>572</v>
      </c>
    </row>
    <row r="434" spans="1:11" ht="17">
      <c r="A434">
        <v>433</v>
      </c>
      <c r="B434" s="5">
        <v>46521</v>
      </c>
      <c r="C434" t="s">
        <v>17</v>
      </c>
      <c r="D434" t="s">
        <v>34</v>
      </c>
      <c r="E434" t="s">
        <v>57</v>
      </c>
      <c r="F434" t="s">
        <v>485</v>
      </c>
      <c r="G434" t="s">
        <v>550</v>
      </c>
      <c r="H434" t="s">
        <v>563</v>
      </c>
      <c r="I434" t="s">
        <v>566</v>
      </c>
      <c r="J434" s="8">
        <v>49000</v>
      </c>
      <c r="K434" t="s">
        <v>573</v>
      </c>
    </row>
    <row r="435" spans="1:11" ht="17">
      <c r="A435">
        <v>434</v>
      </c>
      <c r="B435" s="5">
        <v>46523</v>
      </c>
      <c r="C435" t="s">
        <v>27</v>
      </c>
      <c r="D435" t="s">
        <v>38</v>
      </c>
      <c r="E435" t="s">
        <v>58</v>
      </c>
      <c r="F435" t="s">
        <v>486</v>
      </c>
      <c r="G435" t="s">
        <v>553</v>
      </c>
      <c r="H435" t="s">
        <v>562</v>
      </c>
      <c r="I435" t="s">
        <v>567</v>
      </c>
      <c r="J435" s="8">
        <v>121000</v>
      </c>
      <c r="K435" t="s">
        <v>573</v>
      </c>
    </row>
    <row r="436" spans="1:11" ht="17">
      <c r="A436">
        <v>435</v>
      </c>
      <c r="B436" s="5">
        <v>46525</v>
      </c>
      <c r="C436" t="s">
        <v>21</v>
      </c>
      <c r="D436" t="s">
        <v>37</v>
      </c>
      <c r="E436" t="s">
        <v>39</v>
      </c>
      <c r="F436" t="s">
        <v>487</v>
      </c>
      <c r="G436" t="s">
        <v>554</v>
      </c>
      <c r="H436" t="s">
        <v>564</v>
      </c>
      <c r="I436" t="s">
        <v>568</v>
      </c>
      <c r="J436" s="8">
        <v>299000</v>
      </c>
      <c r="K436" t="s">
        <v>572</v>
      </c>
    </row>
    <row r="437" spans="1:11" ht="17">
      <c r="A437">
        <v>436</v>
      </c>
      <c r="B437" s="5">
        <v>46526</v>
      </c>
      <c r="C437" t="s">
        <v>12</v>
      </c>
      <c r="D437" t="s">
        <v>38</v>
      </c>
      <c r="E437" t="s">
        <v>49</v>
      </c>
      <c r="F437" t="s">
        <v>488</v>
      </c>
      <c r="G437" t="s">
        <v>555</v>
      </c>
      <c r="H437" t="s">
        <v>563</v>
      </c>
      <c r="I437" t="s">
        <v>568</v>
      </c>
      <c r="J437" s="8">
        <v>43500</v>
      </c>
      <c r="K437" t="s">
        <v>570</v>
      </c>
    </row>
    <row r="438" spans="1:11" ht="17">
      <c r="A438">
        <v>437</v>
      </c>
      <c r="B438" s="5">
        <v>46529</v>
      </c>
      <c r="C438" t="s">
        <v>14</v>
      </c>
      <c r="D438" t="s">
        <v>38</v>
      </c>
      <c r="E438" t="s">
        <v>49</v>
      </c>
      <c r="F438" t="s">
        <v>489</v>
      </c>
      <c r="G438" t="s">
        <v>556</v>
      </c>
      <c r="H438" t="s">
        <v>562</v>
      </c>
      <c r="I438" t="s">
        <v>568</v>
      </c>
      <c r="J438" s="8">
        <v>58500</v>
      </c>
      <c r="K438" t="s">
        <v>573</v>
      </c>
    </row>
    <row r="439" spans="1:11" ht="17">
      <c r="A439">
        <v>438</v>
      </c>
      <c r="B439" s="5">
        <v>46531</v>
      </c>
      <c r="C439" t="s">
        <v>20</v>
      </c>
      <c r="D439" t="s">
        <v>33</v>
      </c>
      <c r="E439" t="s">
        <v>53</v>
      </c>
      <c r="F439" t="s">
        <v>490</v>
      </c>
      <c r="G439" t="s">
        <v>557</v>
      </c>
      <c r="H439" t="s">
        <v>562</v>
      </c>
      <c r="I439" t="s">
        <v>566</v>
      </c>
      <c r="J439" s="8">
        <v>146000</v>
      </c>
      <c r="K439" t="s">
        <v>572</v>
      </c>
    </row>
    <row r="440" spans="1:11" ht="17">
      <c r="A440">
        <v>439</v>
      </c>
      <c r="B440" s="5">
        <v>46532</v>
      </c>
      <c r="C440" t="s">
        <v>14</v>
      </c>
      <c r="D440" t="s">
        <v>38</v>
      </c>
      <c r="E440" t="s">
        <v>39</v>
      </c>
      <c r="F440" t="s">
        <v>491</v>
      </c>
      <c r="G440" t="s">
        <v>560</v>
      </c>
      <c r="H440" t="s">
        <v>564</v>
      </c>
      <c r="I440" t="s">
        <v>567</v>
      </c>
      <c r="J440" s="8">
        <v>32000</v>
      </c>
      <c r="K440" t="s">
        <v>570</v>
      </c>
    </row>
    <row r="441" spans="1:11" ht="17">
      <c r="A441">
        <v>440</v>
      </c>
      <c r="B441" s="5">
        <v>46534</v>
      </c>
      <c r="C441" t="s">
        <v>28</v>
      </c>
      <c r="D441" t="s">
        <v>33</v>
      </c>
      <c r="E441" t="s">
        <v>45</v>
      </c>
      <c r="F441" t="s">
        <v>492</v>
      </c>
      <c r="G441" t="s">
        <v>558</v>
      </c>
      <c r="H441" t="s">
        <v>564</v>
      </c>
      <c r="I441" t="s">
        <v>565</v>
      </c>
      <c r="J441" s="8">
        <v>17500</v>
      </c>
      <c r="K441" t="s">
        <v>570</v>
      </c>
    </row>
    <row r="442" spans="1:11" ht="17">
      <c r="A442">
        <v>441</v>
      </c>
      <c r="B442" s="5">
        <v>46537</v>
      </c>
      <c r="C442" t="s">
        <v>18</v>
      </c>
      <c r="D442" t="s">
        <v>35</v>
      </c>
      <c r="E442" t="s">
        <v>50</v>
      </c>
      <c r="F442" t="s">
        <v>493</v>
      </c>
      <c r="G442" t="s">
        <v>559</v>
      </c>
      <c r="H442" t="s">
        <v>562</v>
      </c>
      <c r="I442" t="s">
        <v>565</v>
      </c>
      <c r="J442" s="8">
        <v>12500</v>
      </c>
      <c r="K442" t="s">
        <v>570</v>
      </c>
    </row>
    <row r="443" spans="1:11" ht="17">
      <c r="A443">
        <v>442</v>
      </c>
      <c r="B443" s="5">
        <v>46539</v>
      </c>
      <c r="C443" t="s">
        <v>29</v>
      </c>
      <c r="D443" t="s">
        <v>38</v>
      </c>
      <c r="E443" t="s">
        <v>39</v>
      </c>
      <c r="F443" t="s">
        <v>494</v>
      </c>
      <c r="G443" t="s">
        <v>552</v>
      </c>
      <c r="H443" t="s">
        <v>563</v>
      </c>
      <c r="I443" t="s">
        <v>566</v>
      </c>
      <c r="J443" s="8">
        <v>54000</v>
      </c>
      <c r="K443" t="s">
        <v>570</v>
      </c>
    </row>
    <row r="444" spans="1:11" ht="17">
      <c r="A444">
        <v>443</v>
      </c>
      <c r="B444" s="5">
        <v>46541</v>
      </c>
      <c r="C444" t="s">
        <v>22</v>
      </c>
      <c r="D444" t="s">
        <v>37</v>
      </c>
      <c r="E444" t="s">
        <v>39</v>
      </c>
      <c r="F444" t="s">
        <v>495</v>
      </c>
      <c r="G444" t="s">
        <v>551</v>
      </c>
      <c r="H444" t="s">
        <v>564</v>
      </c>
      <c r="I444" t="s">
        <v>566</v>
      </c>
      <c r="J444" s="8">
        <v>164000</v>
      </c>
      <c r="K444" t="s">
        <v>570</v>
      </c>
    </row>
    <row r="445" spans="1:11" ht="17">
      <c r="A445">
        <v>444</v>
      </c>
      <c r="B445" s="5">
        <v>46544</v>
      </c>
      <c r="C445" t="s">
        <v>25</v>
      </c>
      <c r="D445" t="s">
        <v>34</v>
      </c>
      <c r="E445" t="s">
        <v>44</v>
      </c>
      <c r="F445" t="s">
        <v>496</v>
      </c>
      <c r="G445" t="s">
        <v>550</v>
      </c>
      <c r="H445" t="s">
        <v>562</v>
      </c>
      <c r="I445" t="s">
        <v>568</v>
      </c>
      <c r="J445" s="8">
        <v>169500</v>
      </c>
      <c r="K445" t="s">
        <v>570</v>
      </c>
    </row>
    <row r="446" spans="1:11" ht="17">
      <c r="A446">
        <v>445</v>
      </c>
      <c r="B446" s="5">
        <v>46546</v>
      </c>
      <c r="C446" t="s">
        <v>20</v>
      </c>
      <c r="D446" t="s">
        <v>33</v>
      </c>
      <c r="E446" t="s">
        <v>41</v>
      </c>
      <c r="F446" t="s">
        <v>497</v>
      </c>
      <c r="G446" t="s">
        <v>553</v>
      </c>
      <c r="H446" t="s">
        <v>563</v>
      </c>
      <c r="I446" t="s">
        <v>565</v>
      </c>
      <c r="J446" s="8">
        <v>68000</v>
      </c>
      <c r="K446" t="s">
        <v>572</v>
      </c>
    </row>
    <row r="447" spans="1:11" ht="17">
      <c r="A447">
        <v>446</v>
      </c>
      <c r="B447" s="5">
        <v>46548</v>
      </c>
      <c r="C447" t="s">
        <v>15</v>
      </c>
      <c r="D447" t="s">
        <v>33</v>
      </c>
      <c r="E447" t="s">
        <v>45</v>
      </c>
      <c r="F447" t="s">
        <v>498</v>
      </c>
      <c r="G447" t="s">
        <v>554</v>
      </c>
      <c r="H447" t="s">
        <v>562</v>
      </c>
      <c r="I447" t="s">
        <v>566</v>
      </c>
      <c r="J447" s="8">
        <v>364500</v>
      </c>
      <c r="K447" t="s">
        <v>572</v>
      </c>
    </row>
    <row r="448" spans="1:11" ht="17">
      <c r="A448">
        <v>447</v>
      </c>
      <c r="B448" s="5">
        <v>46550</v>
      </c>
      <c r="C448" t="s">
        <v>17</v>
      </c>
      <c r="D448" t="s">
        <v>34</v>
      </c>
      <c r="E448" t="s">
        <v>44</v>
      </c>
      <c r="F448" t="s">
        <v>499</v>
      </c>
      <c r="G448" t="s">
        <v>561</v>
      </c>
      <c r="H448" t="s">
        <v>564</v>
      </c>
      <c r="I448" t="s">
        <v>568</v>
      </c>
      <c r="J448" s="8">
        <v>172500</v>
      </c>
      <c r="K448" t="s">
        <v>571</v>
      </c>
    </row>
    <row r="449" spans="1:11" ht="17">
      <c r="A449">
        <v>448</v>
      </c>
      <c r="B449" s="5">
        <v>46551</v>
      </c>
      <c r="C449" t="s">
        <v>16</v>
      </c>
      <c r="D449" t="s">
        <v>34</v>
      </c>
      <c r="E449" t="s">
        <v>55</v>
      </c>
      <c r="F449" t="s">
        <v>500</v>
      </c>
      <c r="G449" t="s">
        <v>555</v>
      </c>
      <c r="H449" t="s">
        <v>562</v>
      </c>
      <c r="I449" t="s">
        <v>567</v>
      </c>
      <c r="J449" s="8">
        <v>203500</v>
      </c>
      <c r="K449" t="s">
        <v>571</v>
      </c>
    </row>
    <row r="450" spans="1:11" ht="17">
      <c r="A450">
        <v>449</v>
      </c>
      <c r="B450" s="5">
        <v>46553</v>
      </c>
      <c r="C450" t="s">
        <v>14</v>
      </c>
      <c r="D450" t="s">
        <v>38</v>
      </c>
      <c r="E450" t="s">
        <v>58</v>
      </c>
      <c r="F450" t="s">
        <v>501</v>
      </c>
      <c r="G450" t="s">
        <v>556</v>
      </c>
      <c r="H450" t="s">
        <v>563</v>
      </c>
      <c r="I450" t="s">
        <v>568</v>
      </c>
      <c r="J450" s="8">
        <v>86500</v>
      </c>
      <c r="K450" t="s">
        <v>572</v>
      </c>
    </row>
    <row r="451" spans="1:11" ht="17">
      <c r="A451">
        <v>450</v>
      </c>
      <c r="B451" s="5">
        <v>46555</v>
      </c>
      <c r="C451" t="s">
        <v>27</v>
      </c>
      <c r="D451" t="s">
        <v>38</v>
      </c>
      <c r="E451" t="s">
        <v>39</v>
      </c>
      <c r="F451" t="s">
        <v>502</v>
      </c>
      <c r="G451" t="s">
        <v>557</v>
      </c>
      <c r="H451" t="s">
        <v>562</v>
      </c>
      <c r="I451" t="s">
        <v>568</v>
      </c>
      <c r="J451" s="8">
        <v>687000</v>
      </c>
      <c r="K451" t="s">
        <v>572</v>
      </c>
    </row>
    <row r="452" spans="1:11" ht="17">
      <c r="A452">
        <v>451</v>
      </c>
      <c r="B452" s="5">
        <v>46558</v>
      </c>
      <c r="C452" t="s">
        <v>23</v>
      </c>
      <c r="D452" t="s">
        <v>35</v>
      </c>
      <c r="E452" t="s">
        <v>50</v>
      </c>
      <c r="F452" t="s">
        <v>503</v>
      </c>
      <c r="G452" t="s">
        <v>558</v>
      </c>
      <c r="H452" t="s">
        <v>562</v>
      </c>
      <c r="I452" t="s">
        <v>568</v>
      </c>
      <c r="J452" s="8">
        <v>489000</v>
      </c>
      <c r="K452" t="s">
        <v>572</v>
      </c>
    </row>
    <row r="453" spans="1:11" ht="17">
      <c r="A453">
        <v>452</v>
      </c>
      <c r="B453" s="5">
        <v>46560</v>
      </c>
      <c r="C453" t="s">
        <v>27</v>
      </c>
      <c r="D453" t="s">
        <v>38</v>
      </c>
      <c r="E453" t="s">
        <v>58</v>
      </c>
      <c r="F453" t="s">
        <v>504</v>
      </c>
      <c r="G453" t="s">
        <v>559</v>
      </c>
      <c r="H453" t="s">
        <v>563</v>
      </c>
      <c r="I453" t="s">
        <v>565</v>
      </c>
      <c r="J453" s="8">
        <v>156500</v>
      </c>
      <c r="K453" t="s">
        <v>572</v>
      </c>
    </row>
    <row r="454" spans="1:11" ht="17">
      <c r="A454">
        <v>453</v>
      </c>
      <c r="B454" s="5">
        <v>46561</v>
      </c>
      <c r="C454" t="s">
        <v>28</v>
      </c>
      <c r="D454" t="s">
        <v>33</v>
      </c>
      <c r="E454" t="s">
        <v>53</v>
      </c>
      <c r="F454" t="s">
        <v>505</v>
      </c>
      <c r="G454" t="s">
        <v>560</v>
      </c>
      <c r="H454" t="s">
        <v>563</v>
      </c>
      <c r="I454" t="s">
        <v>567</v>
      </c>
      <c r="J454" s="8">
        <v>148500</v>
      </c>
      <c r="K454" t="s">
        <v>572</v>
      </c>
    </row>
    <row r="455" spans="1:11" ht="17">
      <c r="A455">
        <v>454</v>
      </c>
      <c r="B455" s="5">
        <v>46563</v>
      </c>
      <c r="C455" t="s">
        <v>28</v>
      </c>
      <c r="D455" t="s">
        <v>33</v>
      </c>
      <c r="E455" t="s">
        <v>53</v>
      </c>
      <c r="F455" t="s">
        <v>506</v>
      </c>
      <c r="G455" t="s">
        <v>552</v>
      </c>
      <c r="H455" t="s">
        <v>564</v>
      </c>
      <c r="I455" t="s">
        <v>567</v>
      </c>
      <c r="J455" s="8">
        <v>182000</v>
      </c>
      <c r="K455" t="s">
        <v>570</v>
      </c>
    </row>
    <row r="456" spans="1:11" ht="17">
      <c r="A456">
        <v>455</v>
      </c>
      <c r="B456" s="5">
        <v>46564</v>
      </c>
      <c r="C456" t="s">
        <v>30</v>
      </c>
      <c r="D456" t="s">
        <v>33</v>
      </c>
      <c r="E456" t="s">
        <v>45</v>
      </c>
      <c r="F456" t="s">
        <v>507</v>
      </c>
      <c r="G456" t="s">
        <v>551</v>
      </c>
      <c r="H456" t="s">
        <v>564</v>
      </c>
      <c r="I456" t="s">
        <v>565</v>
      </c>
      <c r="J456" s="8">
        <v>92500</v>
      </c>
      <c r="K456" t="s">
        <v>573</v>
      </c>
    </row>
    <row r="457" spans="1:11" ht="17">
      <c r="A457">
        <v>456</v>
      </c>
      <c r="B457" s="5">
        <v>46566</v>
      </c>
      <c r="C457" t="s">
        <v>22</v>
      </c>
      <c r="D457" t="s">
        <v>37</v>
      </c>
      <c r="E457" t="s">
        <v>39</v>
      </c>
      <c r="F457" t="s">
        <v>508</v>
      </c>
      <c r="G457" t="s">
        <v>550</v>
      </c>
      <c r="H457" t="s">
        <v>563</v>
      </c>
      <c r="I457" t="s">
        <v>566</v>
      </c>
      <c r="J457" s="8">
        <v>65000</v>
      </c>
      <c r="K457" t="s">
        <v>572</v>
      </c>
    </row>
    <row r="458" spans="1:11" ht="17">
      <c r="A458">
        <v>457</v>
      </c>
      <c r="B458" s="5">
        <v>46569</v>
      </c>
      <c r="C458" t="s">
        <v>29</v>
      </c>
      <c r="D458" t="s">
        <v>38</v>
      </c>
      <c r="E458" t="s">
        <v>39</v>
      </c>
      <c r="F458" t="s">
        <v>195</v>
      </c>
      <c r="G458" t="s">
        <v>553</v>
      </c>
      <c r="H458" t="s">
        <v>563</v>
      </c>
      <c r="I458" t="s">
        <v>568</v>
      </c>
      <c r="J458" s="8">
        <v>123500</v>
      </c>
      <c r="K458" t="s">
        <v>572</v>
      </c>
    </row>
    <row r="459" spans="1:11" ht="17">
      <c r="A459">
        <v>458</v>
      </c>
      <c r="B459" s="5">
        <v>46570</v>
      </c>
      <c r="C459" t="s">
        <v>19</v>
      </c>
      <c r="D459" t="s">
        <v>36</v>
      </c>
      <c r="E459" t="s">
        <v>53</v>
      </c>
      <c r="F459" t="s">
        <v>509</v>
      </c>
      <c r="G459" t="s">
        <v>554</v>
      </c>
      <c r="H459" t="s">
        <v>562</v>
      </c>
      <c r="I459" t="s">
        <v>569</v>
      </c>
      <c r="J459" s="8">
        <v>32000</v>
      </c>
      <c r="K459" t="s">
        <v>573</v>
      </c>
    </row>
    <row r="460" spans="1:11" ht="17">
      <c r="A460">
        <v>459</v>
      </c>
      <c r="B460" s="5">
        <v>46572</v>
      </c>
      <c r="C460" t="s">
        <v>20</v>
      </c>
      <c r="D460" t="s">
        <v>33</v>
      </c>
      <c r="E460" t="s">
        <v>41</v>
      </c>
      <c r="F460" t="s">
        <v>510</v>
      </c>
      <c r="G460" t="s">
        <v>555</v>
      </c>
      <c r="H460" t="s">
        <v>562</v>
      </c>
      <c r="I460" t="s">
        <v>565</v>
      </c>
      <c r="J460" s="8">
        <v>52000</v>
      </c>
      <c r="K460" t="s">
        <v>570</v>
      </c>
    </row>
    <row r="461" spans="1:11" ht="17">
      <c r="A461">
        <v>460</v>
      </c>
      <c r="B461" s="5">
        <v>46574</v>
      </c>
      <c r="C461" t="s">
        <v>26</v>
      </c>
      <c r="D461" t="s">
        <v>35</v>
      </c>
      <c r="E461" t="s">
        <v>58</v>
      </c>
      <c r="F461" t="s">
        <v>511</v>
      </c>
      <c r="G461" t="s">
        <v>556</v>
      </c>
      <c r="H461" t="s">
        <v>562</v>
      </c>
      <c r="I461" t="s">
        <v>565</v>
      </c>
      <c r="J461" s="8">
        <v>38000</v>
      </c>
      <c r="K461" t="s">
        <v>572</v>
      </c>
    </row>
    <row r="462" spans="1:11" ht="17">
      <c r="A462">
        <v>461</v>
      </c>
      <c r="B462" s="5">
        <v>46576</v>
      </c>
      <c r="C462" t="s">
        <v>20</v>
      </c>
      <c r="D462" t="s">
        <v>33</v>
      </c>
      <c r="E462" t="s">
        <v>53</v>
      </c>
      <c r="F462" t="s">
        <v>512</v>
      </c>
      <c r="G462" t="s">
        <v>557</v>
      </c>
      <c r="H462" t="s">
        <v>564</v>
      </c>
      <c r="I462" t="s">
        <v>566</v>
      </c>
      <c r="J462" s="8">
        <v>279000</v>
      </c>
      <c r="K462" t="s">
        <v>570</v>
      </c>
    </row>
    <row r="463" spans="1:11" ht="17">
      <c r="A463">
        <v>462</v>
      </c>
      <c r="B463" s="5">
        <v>46579</v>
      </c>
      <c r="C463" t="s">
        <v>22</v>
      </c>
      <c r="D463" t="s">
        <v>37</v>
      </c>
      <c r="E463" t="s">
        <v>49</v>
      </c>
      <c r="F463" t="s">
        <v>513</v>
      </c>
      <c r="G463" t="s">
        <v>561</v>
      </c>
      <c r="H463" t="s">
        <v>564</v>
      </c>
      <c r="I463" t="s">
        <v>565</v>
      </c>
      <c r="J463" s="8">
        <v>286000</v>
      </c>
      <c r="K463" t="s">
        <v>570</v>
      </c>
    </row>
    <row r="464" spans="1:11" ht="17">
      <c r="A464">
        <v>463</v>
      </c>
      <c r="B464" s="5">
        <v>46581</v>
      </c>
      <c r="C464" t="s">
        <v>30</v>
      </c>
      <c r="D464" t="s">
        <v>33</v>
      </c>
      <c r="E464" t="s">
        <v>45</v>
      </c>
      <c r="F464" t="s">
        <v>514</v>
      </c>
      <c r="G464" t="s">
        <v>558</v>
      </c>
      <c r="H464" t="s">
        <v>564</v>
      </c>
      <c r="I464" t="s">
        <v>568</v>
      </c>
      <c r="J464" s="8">
        <v>46000</v>
      </c>
      <c r="K464" t="s">
        <v>572</v>
      </c>
    </row>
    <row r="465" spans="1:13" ht="17">
      <c r="A465">
        <v>464</v>
      </c>
      <c r="B465" s="5">
        <v>46582</v>
      </c>
      <c r="C465" t="s">
        <v>18</v>
      </c>
      <c r="D465" t="s">
        <v>35</v>
      </c>
      <c r="E465" t="s">
        <v>50</v>
      </c>
      <c r="F465" t="s">
        <v>515</v>
      </c>
      <c r="G465" t="s">
        <v>559</v>
      </c>
      <c r="H465" t="s">
        <v>564</v>
      </c>
      <c r="I465" t="s">
        <v>565</v>
      </c>
      <c r="J465" s="8">
        <v>86500</v>
      </c>
      <c r="K465" t="s">
        <v>571</v>
      </c>
    </row>
    <row r="466" spans="1:13" ht="17">
      <c r="A466">
        <v>465</v>
      </c>
      <c r="B466" s="5">
        <v>46584</v>
      </c>
      <c r="C466" t="s">
        <v>16</v>
      </c>
      <c r="D466" t="s">
        <v>34</v>
      </c>
      <c r="E466" t="s">
        <v>52</v>
      </c>
      <c r="F466" t="s">
        <v>516</v>
      </c>
      <c r="G466" t="s">
        <v>552</v>
      </c>
      <c r="H466" t="s">
        <v>563</v>
      </c>
      <c r="I466" t="s">
        <v>568</v>
      </c>
      <c r="J466" s="8">
        <v>173000</v>
      </c>
      <c r="K466" t="s">
        <v>572</v>
      </c>
    </row>
    <row r="467" spans="1:13" ht="17">
      <c r="A467">
        <v>466</v>
      </c>
      <c r="B467" s="5">
        <v>46587</v>
      </c>
      <c r="C467" t="s">
        <v>24</v>
      </c>
      <c r="D467" t="s">
        <v>35</v>
      </c>
      <c r="E467" t="s">
        <v>50</v>
      </c>
      <c r="F467" t="s">
        <v>517</v>
      </c>
      <c r="G467" t="s">
        <v>551</v>
      </c>
      <c r="H467" t="s">
        <v>564</v>
      </c>
      <c r="I467" t="s">
        <v>568</v>
      </c>
      <c r="J467" s="8">
        <v>28500</v>
      </c>
      <c r="K467" t="s">
        <v>572</v>
      </c>
    </row>
    <row r="468" spans="1:13" ht="17">
      <c r="A468">
        <v>467</v>
      </c>
      <c r="B468" s="5">
        <v>46589</v>
      </c>
      <c r="C468" t="s">
        <v>19</v>
      </c>
      <c r="D468" t="s">
        <v>36</v>
      </c>
      <c r="E468" t="s">
        <v>41</v>
      </c>
      <c r="F468" t="s">
        <v>518</v>
      </c>
      <c r="G468" t="s">
        <v>550</v>
      </c>
      <c r="H468" t="s">
        <v>563</v>
      </c>
      <c r="I468" t="s">
        <v>568</v>
      </c>
      <c r="J468" s="8">
        <v>44000</v>
      </c>
      <c r="K468" t="s">
        <v>573</v>
      </c>
    </row>
    <row r="469" spans="1:13" ht="17">
      <c r="A469">
        <v>468</v>
      </c>
      <c r="B469" s="5">
        <v>46591</v>
      </c>
      <c r="C469" t="s">
        <v>17</v>
      </c>
      <c r="D469" t="s">
        <v>34</v>
      </c>
      <c r="E469" t="s">
        <v>55</v>
      </c>
      <c r="F469" t="s">
        <v>519</v>
      </c>
      <c r="G469" t="s">
        <v>553</v>
      </c>
      <c r="H469" t="s">
        <v>564</v>
      </c>
      <c r="I469" t="s">
        <v>569</v>
      </c>
      <c r="J469" s="8">
        <v>98000</v>
      </c>
      <c r="K469" t="s">
        <v>572</v>
      </c>
      <c r="M469" s="8">
        <f>SUM($J:$J)</f>
        <v>97798500</v>
      </c>
    </row>
    <row r="470" spans="1:13" ht="17">
      <c r="A470">
        <v>469</v>
      </c>
      <c r="B470" s="5">
        <v>46594</v>
      </c>
      <c r="C470" t="s">
        <v>30</v>
      </c>
      <c r="D470" t="s">
        <v>33</v>
      </c>
      <c r="E470" t="s">
        <v>56</v>
      </c>
      <c r="F470" t="s">
        <v>520</v>
      </c>
      <c r="G470" t="s">
        <v>554</v>
      </c>
      <c r="H470" t="s">
        <v>564</v>
      </c>
      <c r="I470" t="s">
        <v>569</v>
      </c>
      <c r="J470" s="8">
        <v>68000</v>
      </c>
      <c r="K470" t="s">
        <v>572</v>
      </c>
    </row>
    <row r="471" spans="1:13" ht="17">
      <c r="A471">
        <v>470</v>
      </c>
      <c r="B471" s="5">
        <v>46596</v>
      </c>
      <c r="C471" t="s">
        <v>17</v>
      </c>
      <c r="D471" t="s">
        <v>34</v>
      </c>
      <c r="E471" t="s">
        <v>55</v>
      </c>
      <c r="F471" t="s">
        <v>521</v>
      </c>
      <c r="G471" t="s">
        <v>555</v>
      </c>
      <c r="H471" t="s">
        <v>562</v>
      </c>
      <c r="I471" t="s">
        <v>569</v>
      </c>
      <c r="J471" s="8">
        <v>36500</v>
      </c>
      <c r="K471" t="s">
        <v>572</v>
      </c>
    </row>
    <row r="472" spans="1:13" ht="17">
      <c r="A472">
        <v>471</v>
      </c>
      <c r="B472" s="5">
        <v>46598</v>
      </c>
      <c r="C472" t="s">
        <v>28</v>
      </c>
      <c r="D472" t="s">
        <v>33</v>
      </c>
      <c r="E472" t="s">
        <v>41</v>
      </c>
      <c r="F472" t="s">
        <v>522</v>
      </c>
      <c r="G472" t="s">
        <v>556</v>
      </c>
      <c r="H472" t="s">
        <v>564</v>
      </c>
      <c r="I472" t="s">
        <v>565</v>
      </c>
      <c r="J472" s="8">
        <v>49000</v>
      </c>
      <c r="K472" t="s">
        <v>573</v>
      </c>
    </row>
    <row r="473" spans="1:13" ht="17">
      <c r="A473">
        <v>472</v>
      </c>
      <c r="B473" s="5">
        <v>46600</v>
      </c>
      <c r="C473" t="s">
        <v>28</v>
      </c>
      <c r="D473" t="s">
        <v>33</v>
      </c>
      <c r="E473" t="s">
        <v>43</v>
      </c>
      <c r="F473" t="s">
        <v>523</v>
      </c>
      <c r="G473" t="s">
        <v>557</v>
      </c>
      <c r="H473" t="s">
        <v>562</v>
      </c>
      <c r="I473" t="s">
        <v>567</v>
      </c>
      <c r="J473" s="8">
        <v>213000</v>
      </c>
      <c r="K473" t="s">
        <v>570</v>
      </c>
    </row>
    <row r="474" spans="1:13" ht="17">
      <c r="A474">
        <v>473</v>
      </c>
      <c r="B474" s="5">
        <v>46602</v>
      </c>
      <c r="C474" t="s">
        <v>18</v>
      </c>
      <c r="D474" t="s">
        <v>35</v>
      </c>
      <c r="E474" t="s">
        <v>46</v>
      </c>
      <c r="F474" t="s">
        <v>524</v>
      </c>
      <c r="G474" t="s">
        <v>560</v>
      </c>
      <c r="H474" t="s">
        <v>563</v>
      </c>
      <c r="I474" t="s">
        <v>566</v>
      </c>
      <c r="J474" s="8">
        <v>43000</v>
      </c>
      <c r="K474" t="s">
        <v>572</v>
      </c>
    </row>
    <row r="475" spans="1:13" ht="17">
      <c r="A475">
        <v>474</v>
      </c>
      <c r="B475" s="5">
        <v>46604</v>
      </c>
      <c r="C475" t="s">
        <v>21</v>
      </c>
      <c r="D475" t="s">
        <v>37</v>
      </c>
      <c r="E475" t="s">
        <v>48</v>
      </c>
      <c r="F475" t="s">
        <v>525</v>
      </c>
      <c r="G475" t="s">
        <v>558</v>
      </c>
      <c r="H475" t="s">
        <v>564</v>
      </c>
      <c r="I475" t="s">
        <v>566</v>
      </c>
      <c r="J475" s="8">
        <v>64500</v>
      </c>
      <c r="K475" t="s">
        <v>572</v>
      </c>
    </row>
    <row r="476" spans="1:13" ht="17">
      <c r="A476">
        <v>475</v>
      </c>
      <c r="B476" s="5">
        <v>46606</v>
      </c>
      <c r="C476" t="s">
        <v>31</v>
      </c>
      <c r="D476" t="s">
        <v>33</v>
      </c>
      <c r="E476" t="s">
        <v>56</v>
      </c>
      <c r="F476" t="s">
        <v>526</v>
      </c>
      <c r="G476" t="s">
        <v>559</v>
      </c>
      <c r="H476" t="s">
        <v>562</v>
      </c>
      <c r="I476" t="s">
        <v>565</v>
      </c>
      <c r="J476" s="8">
        <v>22500</v>
      </c>
      <c r="K476" t="s">
        <v>572</v>
      </c>
    </row>
    <row r="477" spans="1:13" ht="17">
      <c r="A477">
        <v>476</v>
      </c>
      <c r="B477" s="5">
        <v>46608</v>
      </c>
      <c r="C477" t="s">
        <v>19</v>
      </c>
      <c r="D477" t="s">
        <v>36</v>
      </c>
      <c r="E477" t="s">
        <v>47</v>
      </c>
      <c r="F477" t="s">
        <v>527</v>
      </c>
      <c r="G477" t="s">
        <v>552</v>
      </c>
      <c r="H477" t="s">
        <v>562</v>
      </c>
      <c r="I477" t="s">
        <v>566</v>
      </c>
      <c r="J477" s="8">
        <v>469000</v>
      </c>
      <c r="K477" t="s">
        <v>572</v>
      </c>
    </row>
    <row r="478" spans="1:13" ht="17">
      <c r="A478">
        <v>477</v>
      </c>
      <c r="B478" s="5">
        <v>46609</v>
      </c>
      <c r="C478" t="s">
        <v>12</v>
      </c>
      <c r="D478" t="s">
        <v>38</v>
      </c>
      <c r="E478" t="s">
        <v>54</v>
      </c>
      <c r="F478" t="s">
        <v>528</v>
      </c>
      <c r="G478" t="s">
        <v>551</v>
      </c>
      <c r="H478" t="s">
        <v>562</v>
      </c>
      <c r="I478" t="s">
        <v>568</v>
      </c>
      <c r="J478" s="8">
        <v>227000</v>
      </c>
      <c r="K478" t="s">
        <v>570</v>
      </c>
    </row>
    <row r="479" spans="1:13" ht="17">
      <c r="A479">
        <v>478</v>
      </c>
      <c r="B479" s="5">
        <v>46612</v>
      </c>
      <c r="C479" t="s">
        <v>28</v>
      </c>
      <c r="D479" t="s">
        <v>33</v>
      </c>
      <c r="E479" t="s">
        <v>43</v>
      </c>
      <c r="F479" t="s">
        <v>529</v>
      </c>
      <c r="G479" t="s">
        <v>550</v>
      </c>
      <c r="H479" t="s">
        <v>563</v>
      </c>
      <c r="I479" t="s">
        <v>566</v>
      </c>
      <c r="J479" s="8">
        <v>17000</v>
      </c>
      <c r="K479" t="s">
        <v>572</v>
      </c>
    </row>
    <row r="480" spans="1:13" ht="17">
      <c r="A480">
        <v>479</v>
      </c>
      <c r="B480" s="5">
        <v>46613</v>
      </c>
      <c r="C480" t="s">
        <v>22</v>
      </c>
      <c r="D480" t="s">
        <v>37</v>
      </c>
      <c r="E480" t="s">
        <v>48</v>
      </c>
      <c r="F480" t="s">
        <v>530</v>
      </c>
      <c r="G480" t="s">
        <v>553</v>
      </c>
      <c r="H480" t="s">
        <v>562</v>
      </c>
      <c r="I480" t="s">
        <v>565</v>
      </c>
      <c r="J480" s="8">
        <v>125500</v>
      </c>
      <c r="K480" t="s">
        <v>572</v>
      </c>
    </row>
    <row r="481" spans="1:11" ht="17">
      <c r="A481">
        <v>480</v>
      </c>
      <c r="B481" s="5">
        <v>46615</v>
      </c>
      <c r="C481" t="s">
        <v>26</v>
      </c>
      <c r="D481" t="s">
        <v>35</v>
      </c>
      <c r="E481" t="s">
        <v>46</v>
      </c>
      <c r="F481" t="s">
        <v>531</v>
      </c>
      <c r="G481" t="s">
        <v>554</v>
      </c>
      <c r="H481" t="s">
        <v>564</v>
      </c>
      <c r="I481" t="s">
        <v>565</v>
      </c>
      <c r="J481" s="8">
        <v>539500</v>
      </c>
      <c r="K481" t="s">
        <v>572</v>
      </c>
    </row>
    <row r="482" spans="1:11" ht="17">
      <c r="A482">
        <v>481</v>
      </c>
      <c r="B482" s="5">
        <v>46618</v>
      </c>
      <c r="C482" t="s">
        <v>32</v>
      </c>
      <c r="D482" t="s">
        <v>35</v>
      </c>
      <c r="E482" t="s">
        <v>50</v>
      </c>
      <c r="F482" t="s">
        <v>532</v>
      </c>
      <c r="G482" t="s">
        <v>561</v>
      </c>
      <c r="H482" t="s">
        <v>564</v>
      </c>
      <c r="I482" t="s">
        <v>567</v>
      </c>
      <c r="J482" s="8">
        <v>595500</v>
      </c>
      <c r="K482" t="s">
        <v>570</v>
      </c>
    </row>
    <row r="483" spans="1:11" ht="17">
      <c r="A483">
        <v>482</v>
      </c>
      <c r="B483" s="5">
        <v>46620</v>
      </c>
      <c r="C483" t="s">
        <v>20</v>
      </c>
      <c r="D483" t="s">
        <v>33</v>
      </c>
      <c r="E483" t="s">
        <v>45</v>
      </c>
      <c r="F483" t="s">
        <v>533</v>
      </c>
      <c r="G483" t="s">
        <v>555</v>
      </c>
      <c r="H483" t="s">
        <v>563</v>
      </c>
      <c r="I483" t="s">
        <v>566</v>
      </c>
      <c r="J483" s="8">
        <v>102500</v>
      </c>
      <c r="K483" t="s">
        <v>572</v>
      </c>
    </row>
    <row r="484" spans="1:11" ht="17">
      <c r="A484">
        <v>483</v>
      </c>
      <c r="B484" s="5">
        <v>46622</v>
      </c>
      <c r="C484" t="s">
        <v>23</v>
      </c>
      <c r="D484" t="s">
        <v>35</v>
      </c>
      <c r="E484" t="s">
        <v>50</v>
      </c>
      <c r="F484" t="s">
        <v>534</v>
      </c>
      <c r="G484" t="s">
        <v>556</v>
      </c>
      <c r="H484" t="s">
        <v>563</v>
      </c>
      <c r="I484" t="s">
        <v>568</v>
      </c>
      <c r="J484" s="8">
        <v>87000</v>
      </c>
      <c r="K484" t="s">
        <v>570</v>
      </c>
    </row>
    <row r="485" spans="1:11" ht="17">
      <c r="A485">
        <v>484</v>
      </c>
      <c r="B485" s="5">
        <v>46624</v>
      </c>
      <c r="C485" t="s">
        <v>20</v>
      </c>
      <c r="D485" t="s">
        <v>33</v>
      </c>
      <c r="E485" t="s">
        <v>53</v>
      </c>
      <c r="F485" t="s">
        <v>91</v>
      </c>
      <c r="G485" t="s">
        <v>557</v>
      </c>
      <c r="H485" t="s">
        <v>564</v>
      </c>
      <c r="I485" t="s">
        <v>566</v>
      </c>
      <c r="J485" s="8">
        <v>367000</v>
      </c>
      <c r="K485" t="s">
        <v>572</v>
      </c>
    </row>
    <row r="486" spans="1:11" ht="17">
      <c r="A486">
        <v>485</v>
      </c>
      <c r="B486" s="5">
        <v>46625</v>
      </c>
      <c r="C486" t="s">
        <v>22</v>
      </c>
      <c r="D486" t="s">
        <v>37</v>
      </c>
      <c r="E486" t="s">
        <v>55</v>
      </c>
      <c r="F486" t="s">
        <v>535</v>
      </c>
      <c r="G486" t="s">
        <v>558</v>
      </c>
      <c r="H486" t="s">
        <v>563</v>
      </c>
      <c r="I486" t="s">
        <v>567</v>
      </c>
      <c r="J486" s="8">
        <v>19500</v>
      </c>
      <c r="K486" t="s">
        <v>572</v>
      </c>
    </row>
    <row r="487" spans="1:11" ht="17">
      <c r="A487">
        <v>486</v>
      </c>
      <c r="B487" s="5">
        <v>46627</v>
      </c>
      <c r="C487" t="s">
        <v>12</v>
      </c>
      <c r="D487" t="s">
        <v>38</v>
      </c>
      <c r="E487" t="s">
        <v>54</v>
      </c>
      <c r="F487" t="s">
        <v>536</v>
      </c>
      <c r="G487" t="s">
        <v>559</v>
      </c>
      <c r="H487" t="s">
        <v>564</v>
      </c>
      <c r="I487" t="s">
        <v>565</v>
      </c>
      <c r="J487" s="8">
        <v>36500</v>
      </c>
      <c r="K487" t="s">
        <v>572</v>
      </c>
    </row>
    <row r="488" spans="1:11" ht="17">
      <c r="A488">
        <v>487</v>
      </c>
      <c r="B488" s="5">
        <v>46629</v>
      </c>
      <c r="C488" t="s">
        <v>21</v>
      </c>
      <c r="D488" t="s">
        <v>37</v>
      </c>
      <c r="E488" t="s">
        <v>49</v>
      </c>
      <c r="F488" t="s">
        <v>537</v>
      </c>
      <c r="G488" t="s">
        <v>560</v>
      </c>
      <c r="H488" t="s">
        <v>563</v>
      </c>
      <c r="I488" t="s">
        <v>569</v>
      </c>
      <c r="J488" s="8">
        <v>147500</v>
      </c>
      <c r="K488" t="s">
        <v>572</v>
      </c>
    </row>
    <row r="489" spans="1:11" ht="17">
      <c r="A489">
        <v>488</v>
      </c>
      <c r="B489" s="5">
        <v>46631</v>
      </c>
      <c r="C489" t="s">
        <v>22</v>
      </c>
      <c r="D489" t="s">
        <v>37</v>
      </c>
      <c r="E489" t="s">
        <v>48</v>
      </c>
      <c r="F489" t="s">
        <v>538</v>
      </c>
      <c r="G489" t="s">
        <v>552</v>
      </c>
      <c r="H489" t="s">
        <v>562</v>
      </c>
      <c r="I489" t="s">
        <v>567</v>
      </c>
      <c r="J489" s="8">
        <v>584500</v>
      </c>
      <c r="K489" t="s">
        <v>572</v>
      </c>
    </row>
    <row r="490" spans="1:11" ht="17">
      <c r="A490">
        <v>489</v>
      </c>
      <c r="B490" s="5">
        <v>46632</v>
      </c>
      <c r="C490" t="s">
        <v>16</v>
      </c>
      <c r="D490" t="s">
        <v>34</v>
      </c>
      <c r="E490" t="s">
        <v>55</v>
      </c>
      <c r="F490" t="s">
        <v>127</v>
      </c>
      <c r="G490" t="s">
        <v>551</v>
      </c>
      <c r="H490" t="s">
        <v>563</v>
      </c>
      <c r="I490" t="s">
        <v>566</v>
      </c>
      <c r="J490" s="8">
        <v>43500</v>
      </c>
      <c r="K490" t="s">
        <v>573</v>
      </c>
    </row>
    <row r="491" spans="1:11" ht="17">
      <c r="A491">
        <v>490</v>
      </c>
      <c r="B491" s="5">
        <v>46634</v>
      </c>
      <c r="C491" t="s">
        <v>15</v>
      </c>
      <c r="D491" t="s">
        <v>33</v>
      </c>
      <c r="E491" t="s">
        <v>45</v>
      </c>
      <c r="F491" t="s">
        <v>539</v>
      </c>
      <c r="G491" t="s">
        <v>550</v>
      </c>
      <c r="H491" t="s">
        <v>562</v>
      </c>
      <c r="I491" t="s">
        <v>568</v>
      </c>
      <c r="J491" s="8">
        <v>231000</v>
      </c>
      <c r="K491" t="s">
        <v>572</v>
      </c>
    </row>
    <row r="492" spans="1:11" ht="17">
      <c r="A492">
        <v>491</v>
      </c>
      <c r="B492" s="5">
        <v>46635</v>
      </c>
      <c r="C492" t="s">
        <v>26</v>
      </c>
      <c r="D492" t="s">
        <v>35</v>
      </c>
      <c r="E492" t="s">
        <v>51</v>
      </c>
      <c r="F492" t="s">
        <v>540</v>
      </c>
      <c r="G492" t="s">
        <v>553</v>
      </c>
      <c r="H492" t="s">
        <v>562</v>
      </c>
      <c r="I492" t="s">
        <v>567</v>
      </c>
      <c r="J492" s="8">
        <v>143000</v>
      </c>
      <c r="K492" t="s">
        <v>572</v>
      </c>
    </row>
    <row r="493" spans="1:11" ht="17">
      <c r="A493">
        <v>492</v>
      </c>
      <c r="B493" s="5">
        <v>46637</v>
      </c>
      <c r="C493" t="s">
        <v>28</v>
      </c>
      <c r="D493" t="s">
        <v>33</v>
      </c>
      <c r="E493" t="s">
        <v>53</v>
      </c>
      <c r="F493" t="s">
        <v>541</v>
      </c>
      <c r="G493" t="s">
        <v>554</v>
      </c>
      <c r="H493" t="s">
        <v>564</v>
      </c>
      <c r="I493" t="s">
        <v>569</v>
      </c>
      <c r="J493" s="8">
        <v>33000</v>
      </c>
      <c r="K493" t="s">
        <v>573</v>
      </c>
    </row>
    <row r="494" spans="1:11" ht="17">
      <c r="A494">
        <v>493</v>
      </c>
      <c r="B494" s="5">
        <v>46639</v>
      </c>
      <c r="C494" t="s">
        <v>31</v>
      </c>
      <c r="D494" t="s">
        <v>33</v>
      </c>
      <c r="E494" t="s">
        <v>56</v>
      </c>
      <c r="F494" t="s">
        <v>542</v>
      </c>
      <c r="G494" t="s">
        <v>555</v>
      </c>
      <c r="H494" t="s">
        <v>564</v>
      </c>
      <c r="I494" t="s">
        <v>568</v>
      </c>
      <c r="J494" s="8">
        <v>335500</v>
      </c>
      <c r="K494" t="s">
        <v>571</v>
      </c>
    </row>
    <row r="495" spans="1:11" ht="17">
      <c r="A495">
        <v>494</v>
      </c>
      <c r="B495" s="5">
        <v>46641</v>
      </c>
      <c r="C495" t="s">
        <v>31</v>
      </c>
      <c r="D495" t="s">
        <v>33</v>
      </c>
      <c r="E495" t="s">
        <v>43</v>
      </c>
      <c r="F495" t="s">
        <v>543</v>
      </c>
      <c r="G495" t="s">
        <v>556</v>
      </c>
      <c r="H495" t="s">
        <v>562</v>
      </c>
      <c r="I495" t="s">
        <v>568</v>
      </c>
      <c r="J495" s="8">
        <v>94500</v>
      </c>
      <c r="K495" t="s">
        <v>572</v>
      </c>
    </row>
    <row r="496" spans="1:11" ht="17">
      <c r="A496">
        <v>495</v>
      </c>
      <c r="B496" s="5">
        <v>46642</v>
      </c>
      <c r="C496" t="s">
        <v>31</v>
      </c>
      <c r="D496" t="s">
        <v>33</v>
      </c>
      <c r="E496" t="s">
        <v>41</v>
      </c>
      <c r="F496" t="s">
        <v>544</v>
      </c>
      <c r="G496" t="s">
        <v>557</v>
      </c>
      <c r="H496" t="s">
        <v>564</v>
      </c>
      <c r="I496" t="s">
        <v>565</v>
      </c>
      <c r="J496" s="8">
        <v>98000</v>
      </c>
      <c r="K496" t="s">
        <v>572</v>
      </c>
    </row>
    <row r="497" spans="1:11" ht="17">
      <c r="A497">
        <v>496</v>
      </c>
      <c r="B497" s="5">
        <v>46644</v>
      </c>
      <c r="C497" t="s">
        <v>32</v>
      </c>
      <c r="D497" t="s">
        <v>35</v>
      </c>
      <c r="E497" t="s">
        <v>46</v>
      </c>
      <c r="F497" t="s">
        <v>545</v>
      </c>
      <c r="G497" t="s">
        <v>561</v>
      </c>
      <c r="H497" t="s">
        <v>562</v>
      </c>
      <c r="I497" t="s">
        <v>568</v>
      </c>
      <c r="J497" s="8">
        <v>435000</v>
      </c>
      <c r="K497" t="s">
        <v>573</v>
      </c>
    </row>
    <row r="498" spans="1:11" ht="17">
      <c r="A498">
        <v>497</v>
      </c>
      <c r="B498" s="5">
        <v>46646</v>
      </c>
      <c r="C498" t="s">
        <v>22</v>
      </c>
      <c r="D498" t="s">
        <v>37</v>
      </c>
      <c r="E498" t="s">
        <v>48</v>
      </c>
      <c r="F498" t="s">
        <v>546</v>
      </c>
      <c r="G498" t="s">
        <v>558</v>
      </c>
      <c r="H498" t="s">
        <v>563</v>
      </c>
      <c r="I498" t="s">
        <v>565</v>
      </c>
      <c r="J498" s="8">
        <v>93500</v>
      </c>
      <c r="K498" t="s">
        <v>572</v>
      </c>
    </row>
    <row r="499" spans="1:11" ht="17">
      <c r="A499">
        <v>498</v>
      </c>
      <c r="B499" s="5">
        <v>46648</v>
      </c>
      <c r="C499" t="s">
        <v>22</v>
      </c>
      <c r="D499" t="s">
        <v>37</v>
      </c>
      <c r="E499" t="s">
        <v>49</v>
      </c>
      <c r="F499" t="s">
        <v>547</v>
      </c>
      <c r="G499" t="s">
        <v>559</v>
      </c>
      <c r="H499" t="s">
        <v>564</v>
      </c>
      <c r="I499" t="s">
        <v>566</v>
      </c>
      <c r="J499" s="8">
        <v>713500</v>
      </c>
      <c r="K499" t="s">
        <v>570</v>
      </c>
    </row>
    <row r="500" spans="1:11" ht="17">
      <c r="A500">
        <v>499</v>
      </c>
      <c r="B500" s="5">
        <v>46651</v>
      </c>
      <c r="C500" t="s">
        <v>28</v>
      </c>
      <c r="D500" t="s">
        <v>33</v>
      </c>
      <c r="E500" t="s">
        <v>56</v>
      </c>
      <c r="F500" t="s">
        <v>548</v>
      </c>
      <c r="G500" t="s">
        <v>552</v>
      </c>
      <c r="H500" t="s">
        <v>563</v>
      </c>
      <c r="I500" t="s">
        <v>565</v>
      </c>
      <c r="J500" s="8">
        <v>151000</v>
      </c>
      <c r="K500" t="s">
        <v>572</v>
      </c>
    </row>
    <row r="501" spans="1:11" ht="17">
      <c r="A501">
        <v>500</v>
      </c>
      <c r="B501" s="5">
        <v>46653</v>
      </c>
      <c r="C501" t="s">
        <v>31</v>
      </c>
      <c r="D501" t="s">
        <v>33</v>
      </c>
      <c r="E501" t="s">
        <v>45</v>
      </c>
      <c r="F501" t="s">
        <v>549</v>
      </c>
      <c r="G501" t="s">
        <v>551</v>
      </c>
      <c r="H501" t="s">
        <v>564</v>
      </c>
      <c r="I501" t="s">
        <v>569</v>
      </c>
      <c r="J501" s="8">
        <v>17500</v>
      </c>
      <c r="K501" t="s">
        <v>572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F3EDC-524D-5B42-B09B-F85EBB0D1674}">
  <dimension ref="A8:G21"/>
  <sheetViews>
    <sheetView workbookViewId="0">
      <selection activeCell="B10" sqref="B10"/>
    </sheetView>
  </sheetViews>
  <sheetFormatPr baseColWidth="10" defaultRowHeight="16"/>
  <cols>
    <col min="1" max="1" width="13" bestFit="1" customWidth="1"/>
    <col min="2" max="2" width="18.1640625" bestFit="1" customWidth="1"/>
    <col min="3" max="3" width="9.1640625" bestFit="1" customWidth="1"/>
    <col min="4" max="4" width="12" bestFit="1" customWidth="1"/>
    <col min="5" max="5" width="9.1640625" bestFit="1" customWidth="1"/>
  </cols>
  <sheetData>
    <row r="8" spans="1:7">
      <c r="A8" s="2" t="s">
        <v>574</v>
      </c>
      <c r="B8" t="s">
        <v>577</v>
      </c>
    </row>
    <row r="9" spans="1:7">
      <c r="A9" s="3" t="s">
        <v>573</v>
      </c>
      <c r="B9" s="19">
        <v>2559500</v>
      </c>
    </row>
    <row r="10" spans="1:7">
      <c r="A10" s="13" t="s">
        <v>585</v>
      </c>
      <c r="B10" s="19">
        <v>18500</v>
      </c>
    </row>
    <row r="11" spans="1:7">
      <c r="A11" s="13" t="s">
        <v>587</v>
      </c>
      <c r="B11" s="19">
        <v>286000</v>
      </c>
      <c r="G11" s="12">
        <f>(B21-B10)/B10</f>
        <v>137.35135135135135</v>
      </c>
    </row>
    <row r="12" spans="1:7">
      <c r="A12" s="13" t="s">
        <v>588</v>
      </c>
      <c r="B12" s="19">
        <v>101500</v>
      </c>
    </row>
    <row r="13" spans="1:7">
      <c r="A13" s="13" t="s">
        <v>589</v>
      </c>
      <c r="B13" s="19">
        <v>337500</v>
      </c>
    </row>
    <row r="14" spans="1:7">
      <c r="A14" s="13" t="s">
        <v>590</v>
      </c>
      <c r="B14" s="19">
        <v>317500</v>
      </c>
    </row>
    <row r="15" spans="1:7">
      <c r="A15" s="13" t="s">
        <v>591</v>
      </c>
      <c r="B15" s="19">
        <v>529000</v>
      </c>
    </row>
    <row r="16" spans="1:7">
      <c r="A16" s="13" t="s">
        <v>592</v>
      </c>
      <c r="B16" s="19">
        <v>401000</v>
      </c>
    </row>
    <row r="17" spans="1:2">
      <c r="A17" s="13" t="s">
        <v>576</v>
      </c>
      <c r="B17" s="19">
        <v>512000</v>
      </c>
    </row>
    <row r="18" spans="1:2">
      <c r="A18" s="13" t="s">
        <v>593</v>
      </c>
      <c r="B18" s="19">
        <v>12000</v>
      </c>
    </row>
    <row r="19" spans="1:2">
      <c r="A19" s="13" t="s">
        <v>594</v>
      </c>
      <c r="B19" s="19">
        <v>17000</v>
      </c>
    </row>
    <row r="20" spans="1:2">
      <c r="A20" s="13" t="s">
        <v>595</v>
      </c>
      <c r="B20" s="19">
        <v>27500</v>
      </c>
    </row>
    <row r="21" spans="1:2">
      <c r="A21" s="3" t="s">
        <v>575</v>
      </c>
      <c r="B21" s="19">
        <v>2559500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61E1C-28AD-3348-9875-2D354DFCD368}">
  <dimension ref="A8:G22"/>
  <sheetViews>
    <sheetView workbookViewId="0">
      <selection activeCell="A9" sqref="A9"/>
    </sheetView>
  </sheetViews>
  <sheetFormatPr baseColWidth="10" defaultRowHeight="16"/>
  <cols>
    <col min="1" max="1" width="13" bestFit="1" customWidth="1"/>
    <col min="2" max="2" width="18.1640625" bestFit="1" customWidth="1"/>
    <col min="3" max="3" width="9.1640625" bestFit="1" customWidth="1"/>
    <col min="4" max="4" width="12" bestFit="1" customWidth="1"/>
    <col min="5" max="5" width="9.1640625" bestFit="1" customWidth="1"/>
  </cols>
  <sheetData>
    <row r="8" spans="1:7">
      <c r="A8" s="2" t="s">
        <v>574</v>
      </c>
      <c r="B8" t="s">
        <v>577</v>
      </c>
    </row>
    <row r="9" spans="1:7">
      <c r="A9" s="3" t="s">
        <v>572</v>
      </c>
      <c r="B9" s="19">
        <v>12162500</v>
      </c>
    </row>
    <row r="10" spans="1:7">
      <c r="A10" s="13" t="s">
        <v>585</v>
      </c>
      <c r="B10" s="19">
        <v>1758500</v>
      </c>
    </row>
    <row r="11" spans="1:7">
      <c r="A11" s="13" t="s">
        <v>586</v>
      </c>
      <c r="B11" s="19">
        <v>765500</v>
      </c>
      <c r="G11" s="12">
        <f>(B21-B10)/B10</f>
        <v>-0.53568382143872617</v>
      </c>
    </row>
    <row r="12" spans="1:7">
      <c r="A12" s="13" t="s">
        <v>587</v>
      </c>
      <c r="B12" s="19">
        <v>633000</v>
      </c>
    </row>
    <row r="13" spans="1:7">
      <c r="A13" s="13" t="s">
        <v>588</v>
      </c>
      <c r="B13" s="19">
        <v>2011500</v>
      </c>
    </row>
    <row r="14" spans="1:7">
      <c r="A14" s="13" t="s">
        <v>589</v>
      </c>
      <c r="B14" s="19">
        <v>364500</v>
      </c>
    </row>
    <row r="15" spans="1:7">
      <c r="A15" s="13" t="s">
        <v>590</v>
      </c>
      <c r="B15" s="19">
        <v>1621500</v>
      </c>
    </row>
    <row r="16" spans="1:7">
      <c r="A16" s="13" t="s">
        <v>591</v>
      </c>
      <c r="B16" s="19">
        <v>1107000</v>
      </c>
    </row>
    <row r="17" spans="1:2">
      <c r="A17" s="13" t="s">
        <v>592</v>
      </c>
      <c r="B17" s="19">
        <v>916000</v>
      </c>
    </row>
    <row r="18" spans="1:2">
      <c r="A18" s="13" t="s">
        <v>576</v>
      </c>
      <c r="B18" s="19">
        <v>738000</v>
      </c>
    </row>
    <row r="19" spans="1:2">
      <c r="A19" s="13" t="s">
        <v>593</v>
      </c>
      <c r="B19" s="19">
        <v>367000</v>
      </c>
    </row>
    <row r="20" spans="1:2">
      <c r="A20" s="13" t="s">
        <v>594</v>
      </c>
      <c r="B20" s="19">
        <v>1063500</v>
      </c>
    </row>
    <row r="21" spans="1:2">
      <c r="A21" s="13" t="s">
        <v>595</v>
      </c>
      <c r="B21" s="19">
        <v>816500</v>
      </c>
    </row>
    <row r="22" spans="1:2">
      <c r="A22" s="3" t="s">
        <v>575</v>
      </c>
      <c r="B22" s="19">
        <v>12162500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9302E-2D7C-2A48-BBAC-13DAAC3358AA}">
  <dimension ref="A8:G21"/>
  <sheetViews>
    <sheetView workbookViewId="0">
      <selection activeCell="B11" sqref="B11"/>
    </sheetView>
  </sheetViews>
  <sheetFormatPr baseColWidth="10" defaultRowHeight="16"/>
  <cols>
    <col min="1" max="1" width="13" bestFit="1" customWidth="1"/>
    <col min="2" max="2" width="18.1640625" bestFit="1" customWidth="1"/>
    <col min="3" max="3" width="9.1640625" bestFit="1" customWidth="1"/>
    <col min="4" max="4" width="12" bestFit="1" customWidth="1"/>
    <col min="5" max="5" width="9.1640625" bestFit="1" customWidth="1"/>
    <col min="7" max="7" width="13.1640625" bestFit="1" customWidth="1"/>
  </cols>
  <sheetData>
    <row r="8" spans="1:7">
      <c r="A8" s="2" t="s">
        <v>574</v>
      </c>
      <c r="B8" t="s">
        <v>577</v>
      </c>
    </row>
    <row r="9" spans="1:7">
      <c r="A9" s="3" t="s">
        <v>570</v>
      </c>
      <c r="B9" s="19">
        <v>6895500</v>
      </c>
    </row>
    <row r="10" spans="1:7">
      <c r="A10" s="13" t="s">
        <v>585</v>
      </c>
      <c r="B10" s="19">
        <v>997500</v>
      </c>
    </row>
    <row r="11" spans="1:7">
      <c r="A11" s="13" t="s">
        <v>586</v>
      </c>
      <c r="B11" s="19">
        <v>86500</v>
      </c>
      <c r="G11" s="12">
        <f>(B21-B10)/B10</f>
        <v>5.912781954887218</v>
      </c>
    </row>
    <row r="12" spans="1:7">
      <c r="A12" s="13" t="s">
        <v>587</v>
      </c>
      <c r="B12" s="19">
        <v>1348000</v>
      </c>
    </row>
    <row r="13" spans="1:7">
      <c r="A13" s="13" t="s">
        <v>588</v>
      </c>
      <c r="B13" s="19">
        <v>300500</v>
      </c>
    </row>
    <row r="14" spans="1:7">
      <c r="A14" s="13" t="s">
        <v>589</v>
      </c>
      <c r="B14" s="19">
        <v>972500</v>
      </c>
    </row>
    <row r="15" spans="1:7">
      <c r="A15" s="13" t="s">
        <v>590</v>
      </c>
      <c r="B15" s="19">
        <v>198000</v>
      </c>
    </row>
    <row r="16" spans="1:7">
      <c r="A16" s="13" t="s">
        <v>591</v>
      </c>
      <c r="B16" s="19">
        <v>331000</v>
      </c>
    </row>
    <row r="17" spans="1:2">
      <c r="A17" s="13" t="s">
        <v>592</v>
      </c>
      <c r="B17" s="19">
        <v>613500</v>
      </c>
    </row>
    <row r="18" spans="1:2">
      <c r="A18" s="13" t="s">
        <v>576</v>
      </c>
      <c r="B18" s="19">
        <v>692500</v>
      </c>
    </row>
    <row r="19" spans="1:2">
      <c r="A19" s="13" t="s">
        <v>594</v>
      </c>
      <c r="B19" s="19">
        <v>998500</v>
      </c>
    </row>
    <row r="20" spans="1:2">
      <c r="A20" s="13" t="s">
        <v>595</v>
      </c>
      <c r="B20" s="19">
        <v>357000</v>
      </c>
    </row>
    <row r="21" spans="1:2">
      <c r="A21" s="3" t="s">
        <v>575</v>
      </c>
      <c r="B21" s="19">
        <v>6895500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09542-F698-C143-8279-37EEC13366A7}">
  <dimension ref="B5:C18"/>
  <sheetViews>
    <sheetView workbookViewId="0">
      <selection activeCell="C6" sqref="C6"/>
    </sheetView>
  </sheetViews>
  <sheetFormatPr baseColWidth="10" defaultRowHeight="16"/>
  <cols>
    <col min="1" max="2" width="13" bestFit="1" customWidth="1"/>
    <col min="3" max="3" width="18.1640625" bestFit="1" customWidth="1"/>
  </cols>
  <sheetData>
    <row r="5" spans="2:3">
      <c r="B5" s="2" t="s">
        <v>574</v>
      </c>
      <c r="C5" t="s">
        <v>577</v>
      </c>
    </row>
    <row r="6" spans="2:3">
      <c r="B6" s="9" t="s">
        <v>585</v>
      </c>
      <c r="C6" s="19">
        <v>3224500</v>
      </c>
    </row>
    <row r="7" spans="2:3">
      <c r="B7" s="9" t="s">
        <v>586</v>
      </c>
      <c r="C7" s="19">
        <v>852000</v>
      </c>
    </row>
    <row r="8" spans="2:3">
      <c r="B8" s="9" t="s">
        <v>587</v>
      </c>
      <c r="C8" s="19">
        <v>2330000</v>
      </c>
    </row>
    <row r="9" spans="2:3">
      <c r="B9" s="9" t="s">
        <v>588</v>
      </c>
      <c r="C9" s="19">
        <v>3301500</v>
      </c>
    </row>
    <row r="10" spans="2:3">
      <c r="B10" s="9" t="s">
        <v>589</v>
      </c>
      <c r="C10" s="19">
        <v>1674500</v>
      </c>
    </row>
    <row r="11" spans="2:3">
      <c r="B11" s="9" t="s">
        <v>590</v>
      </c>
      <c r="C11" s="19">
        <v>2708500</v>
      </c>
    </row>
    <row r="12" spans="2:3">
      <c r="B12" s="9" t="s">
        <v>591</v>
      </c>
      <c r="C12" s="19">
        <v>2420500</v>
      </c>
    </row>
    <row r="13" spans="2:3">
      <c r="B13" s="9" t="s">
        <v>592</v>
      </c>
      <c r="C13" s="19">
        <v>2064000</v>
      </c>
    </row>
    <row r="14" spans="2:3">
      <c r="B14" s="9" t="s">
        <v>576</v>
      </c>
      <c r="C14" s="19">
        <v>2278000</v>
      </c>
    </row>
    <row r="15" spans="2:3">
      <c r="B15" s="9" t="s">
        <v>593</v>
      </c>
      <c r="C15" s="19">
        <v>628500</v>
      </c>
    </row>
    <row r="16" spans="2:3">
      <c r="B16" s="9" t="s">
        <v>594</v>
      </c>
      <c r="C16" s="19">
        <v>2079000</v>
      </c>
    </row>
    <row r="17" spans="2:3">
      <c r="B17" s="9" t="s">
        <v>595</v>
      </c>
      <c r="C17" s="19">
        <v>1332000</v>
      </c>
    </row>
    <row r="18" spans="2:3">
      <c r="B18" s="9" t="s">
        <v>575</v>
      </c>
      <c r="C18" s="19">
        <v>24893000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3D215-29D4-4B45-844A-E91F0F14A44C}">
  <dimension ref="A1:H9"/>
  <sheetViews>
    <sheetView workbookViewId="0">
      <selection activeCell="H2" sqref="H2"/>
    </sheetView>
  </sheetViews>
  <sheetFormatPr baseColWidth="10" defaultRowHeight="16"/>
  <cols>
    <col min="1" max="1" width="13" bestFit="1" customWidth="1"/>
    <col min="2" max="2" width="18.1640625" bestFit="1" customWidth="1"/>
    <col min="4" max="4" width="47" bestFit="1" customWidth="1"/>
    <col min="6" max="6" width="47" bestFit="1" customWidth="1"/>
    <col min="7" max="7" width="26.1640625" customWidth="1"/>
    <col min="8" max="8" width="23.33203125" customWidth="1"/>
  </cols>
  <sheetData>
    <row r="1" spans="1:8" ht="23">
      <c r="A1" s="1"/>
    </row>
    <row r="4" spans="1:8" ht="21">
      <c r="B4" s="11"/>
    </row>
    <row r="5" spans="1:8" ht="21">
      <c r="F5" s="11"/>
      <c r="G5" s="11"/>
      <c r="H5" s="11"/>
    </row>
    <row r="7" spans="1:8">
      <c r="A7" s="2" t="s">
        <v>574</v>
      </c>
      <c r="B7" t="s">
        <v>577</v>
      </c>
    </row>
    <row r="8" spans="1:8">
      <c r="A8" s="3" t="s">
        <v>33</v>
      </c>
      <c r="B8" s="19">
        <v>24893000</v>
      </c>
    </row>
    <row r="9" spans="1:8">
      <c r="A9" s="3" t="s">
        <v>575</v>
      </c>
      <c r="B9" s="19">
        <v>24893000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E568F-B4E5-6D4F-B509-5E4475EA020C}">
  <dimension ref="A1:C10"/>
  <sheetViews>
    <sheetView workbookViewId="0">
      <selection activeCell="C8" sqref="C8"/>
    </sheetView>
  </sheetViews>
  <sheetFormatPr baseColWidth="10" defaultRowHeight="16"/>
  <cols>
    <col min="2" max="2" width="13" bestFit="1" customWidth="1"/>
    <col min="3" max="3" width="18.1640625" bestFit="1" customWidth="1"/>
  </cols>
  <sheetData>
    <row r="1" spans="1:3">
      <c r="A1" t="s">
        <v>579</v>
      </c>
    </row>
    <row r="8" spans="1:3">
      <c r="B8" s="2" t="s">
        <v>574</v>
      </c>
      <c r="C8" t="s">
        <v>577</v>
      </c>
    </row>
    <row r="9" spans="1:3">
      <c r="B9" s="3" t="s">
        <v>33</v>
      </c>
      <c r="C9" s="19">
        <v>24893000</v>
      </c>
    </row>
    <row r="10" spans="1:3">
      <c r="B10" s="3" t="s">
        <v>575</v>
      </c>
      <c r="C10" s="19">
        <v>24893000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9AE3-0D74-774C-829A-85D72709B0E5}">
  <dimension ref="A3:E10"/>
  <sheetViews>
    <sheetView workbookViewId="0">
      <selection activeCell="A6" sqref="A6"/>
    </sheetView>
  </sheetViews>
  <sheetFormatPr baseColWidth="10" defaultRowHeight="16"/>
  <cols>
    <col min="1" max="1" width="18.1640625" bestFit="1" customWidth="1"/>
    <col min="2" max="2" width="20.6640625" bestFit="1" customWidth="1"/>
    <col min="3" max="3" width="13.1640625" bestFit="1" customWidth="1"/>
    <col min="4" max="4" width="22.6640625" bestFit="1" customWidth="1"/>
  </cols>
  <sheetData>
    <row r="3" spans="1:5">
      <c r="A3" s="2" t="s">
        <v>577</v>
      </c>
      <c r="B3" s="2" t="s">
        <v>578</v>
      </c>
    </row>
    <row r="4" spans="1:5">
      <c r="A4" s="2" t="s">
        <v>574</v>
      </c>
      <c r="B4" t="s">
        <v>562</v>
      </c>
      <c r="C4" t="s">
        <v>563</v>
      </c>
      <c r="D4" t="s">
        <v>564</v>
      </c>
      <c r="E4" t="s">
        <v>575</v>
      </c>
    </row>
    <row r="5" spans="1:5">
      <c r="A5" s="3" t="s">
        <v>569</v>
      </c>
      <c r="B5" s="19">
        <v>939000</v>
      </c>
      <c r="C5" s="19">
        <v>1068500</v>
      </c>
      <c r="D5" s="19">
        <v>1616000</v>
      </c>
      <c r="E5" s="19">
        <v>3623500</v>
      </c>
    </row>
    <row r="6" spans="1:5">
      <c r="A6" s="3" t="s">
        <v>567</v>
      </c>
      <c r="B6" s="19">
        <v>1126500</v>
      </c>
      <c r="C6" s="19">
        <v>1147000</v>
      </c>
      <c r="D6" s="19">
        <v>1057500</v>
      </c>
      <c r="E6" s="19">
        <v>3331000</v>
      </c>
    </row>
    <row r="7" spans="1:5">
      <c r="A7" s="3" t="s">
        <v>568</v>
      </c>
      <c r="B7" s="19">
        <v>2708500</v>
      </c>
      <c r="C7" s="19">
        <v>1279500</v>
      </c>
      <c r="D7" s="19">
        <v>3574000</v>
      </c>
      <c r="E7" s="19">
        <v>7562000</v>
      </c>
    </row>
    <row r="8" spans="1:5">
      <c r="A8" s="3" t="s">
        <v>566</v>
      </c>
      <c r="B8" s="19">
        <v>1977000</v>
      </c>
      <c r="C8" s="19">
        <v>1673000</v>
      </c>
      <c r="D8" s="19">
        <v>1127500</v>
      </c>
      <c r="E8" s="19">
        <v>4777500</v>
      </c>
    </row>
    <row r="9" spans="1:5">
      <c r="A9" s="3" t="s">
        <v>565</v>
      </c>
      <c r="B9" s="19">
        <v>1517500</v>
      </c>
      <c r="C9" s="19">
        <v>1439500</v>
      </c>
      <c r="D9" s="19">
        <v>2642000</v>
      </c>
      <c r="E9" s="19">
        <v>5599000</v>
      </c>
    </row>
    <row r="10" spans="1:5">
      <c r="A10" s="3" t="s">
        <v>575</v>
      </c>
      <c r="B10" s="19">
        <v>8268500</v>
      </c>
      <c r="C10" s="19">
        <v>6607500</v>
      </c>
      <c r="D10" s="19">
        <v>10017000</v>
      </c>
      <c r="E10" s="19">
        <v>24893000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5D635-FD97-DA4B-836E-9BDCE433BE94}">
  <dimension ref="P8"/>
  <sheetViews>
    <sheetView showGridLines="0" showRowColHeaders="0" tabSelected="1" zoomScaleNormal="100" workbookViewId="0">
      <selection activeCell="L9" sqref="L9"/>
    </sheetView>
  </sheetViews>
  <sheetFormatPr baseColWidth="10" defaultRowHeight="16"/>
  <cols>
    <col min="1" max="16384" width="10.83203125" style="17"/>
  </cols>
  <sheetData>
    <row r="8" spans="16:16">
      <c r="P8" s="18"/>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C5C27-57D8-284D-97B0-4374D2C092AA}">
  <dimension ref="B8:C14"/>
  <sheetViews>
    <sheetView workbookViewId="0">
      <selection activeCell="C9" sqref="C9"/>
    </sheetView>
  </sheetViews>
  <sheetFormatPr baseColWidth="10" defaultRowHeight="16"/>
  <cols>
    <col min="2" max="2" width="16.33203125" bestFit="1" customWidth="1"/>
    <col min="3" max="3" width="18.1640625" bestFit="1" customWidth="1"/>
  </cols>
  <sheetData>
    <row r="8" spans="2:3">
      <c r="B8" s="2" t="s">
        <v>574</v>
      </c>
      <c r="C8" t="s">
        <v>577</v>
      </c>
    </row>
    <row r="9" spans="2:3">
      <c r="B9" s="3" t="s">
        <v>31</v>
      </c>
      <c r="C9" s="19">
        <v>5165500</v>
      </c>
    </row>
    <row r="10" spans="2:3">
      <c r="B10" s="3" t="s">
        <v>15</v>
      </c>
      <c r="C10" s="19">
        <v>5374000</v>
      </c>
    </row>
    <row r="11" spans="2:3">
      <c r="B11" s="3" t="s">
        <v>28</v>
      </c>
      <c r="C11" s="19">
        <v>5302000</v>
      </c>
    </row>
    <row r="12" spans="2:3">
      <c r="B12" s="3" t="s">
        <v>30</v>
      </c>
      <c r="C12" s="19">
        <v>3088500</v>
      </c>
    </row>
    <row r="13" spans="2:3">
      <c r="B13" s="3" t="s">
        <v>20</v>
      </c>
      <c r="C13" s="19">
        <v>5663500</v>
      </c>
    </row>
    <row r="14" spans="2:3">
      <c r="B14" s="3" t="s">
        <v>575</v>
      </c>
      <c r="C14" s="19">
        <v>24593500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A1FD88-FFC5-4747-B14C-BED48C49FC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kpi1</vt:lpstr>
      <vt:lpstr>Ship_details</vt:lpstr>
      <vt:lpstr>kpi 4</vt:lpstr>
      <vt:lpstr>kpi 3</vt:lpstr>
      <vt:lpstr>kpi 2</vt:lpstr>
      <vt:lpstr>line chart</vt:lpstr>
      <vt:lpstr>Cargo slicer</vt:lpstr>
      <vt:lpstr>donut chart</vt:lpstr>
      <vt:lpstr>region wise column chart</vt:lpstr>
      <vt:lpstr>Dashboard</vt:lpstr>
      <vt:lpstr>2d bar</vt:lpstr>
      <vt:lpstr>Cat</vt:lpstr>
      <vt:lpstr>CategoryList</vt:lpstr>
      <vt:lpstr>Ship_details!Extract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dc:creator>
  <cp:lastModifiedBy>Mac</cp:lastModifiedBy>
  <dcterms:created xsi:type="dcterms:W3CDTF">2026-05-20T16:04:18Z</dcterms:created>
  <dcterms:modified xsi:type="dcterms:W3CDTF">2026-05-25T17:07:46Z</dcterms:modified>
</cp:coreProperties>
</file>